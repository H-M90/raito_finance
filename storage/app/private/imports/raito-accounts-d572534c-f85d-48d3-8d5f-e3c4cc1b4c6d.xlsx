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20" yWindow="-120" windowWidth="23232" windowHeight="13152" tabRatio="572"/>
  </bookViews>
  <sheets>
    <sheet name="Raito Accounts - Main file" sheetId="1" r:id="rId1"/>
    <sheet name="التحصيلات" sheetId="2" r:id="rId2"/>
  </sheets>
  <definedNames>
    <definedName name="_xlnm._FilterDatabase" localSheetId="0" hidden="1">'Raito Accounts - Main file'!$A$1:$AE$92</definedName>
    <definedName name="_xlnm._FilterDatabase" localSheetId="1" hidden="1">التحصيلات!$A$1:$I$44</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4" i="1" l="1"/>
  <c r="A3" i="2"/>
  <c r="A4" i="2" s="1"/>
  <c r="A5" i="2" s="1"/>
  <c r="A6" i="2" s="1"/>
  <c r="A7" i="2" s="1"/>
  <c r="A8" i="2" s="1"/>
  <c r="A9" i="2" s="1"/>
  <c r="A10" i="2" s="1"/>
  <c r="S79" i="1"/>
  <c r="P79" i="1"/>
  <c r="M79" i="1"/>
  <c r="L79" i="1"/>
  <c r="P78" i="1"/>
  <c r="M78" i="1"/>
  <c r="L78" i="1"/>
  <c r="S77" i="1"/>
  <c r="P77" i="1"/>
  <c r="M77" i="1"/>
  <c r="L77" i="1"/>
  <c r="S76" i="1"/>
  <c r="P76" i="1"/>
  <c r="M76" i="1"/>
  <c r="L76" i="1"/>
  <c r="S75" i="1"/>
  <c r="P75" i="1"/>
  <c r="M75" i="1"/>
  <c r="L75" i="1"/>
  <c r="S74" i="1"/>
  <c r="P74" i="1"/>
  <c r="M74" i="1"/>
  <c r="L74" i="1"/>
  <c r="S73" i="1"/>
  <c r="P73" i="1"/>
  <c r="M73" i="1"/>
  <c r="L73" i="1"/>
  <c r="S72" i="1"/>
  <c r="P72" i="1"/>
  <c r="M72" i="1"/>
  <c r="L72" i="1"/>
  <c r="S71" i="1"/>
  <c r="P71" i="1"/>
  <c r="M71" i="1"/>
  <c r="L71" i="1"/>
  <c r="S70" i="1"/>
  <c r="P70" i="1"/>
  <c r="M70" i="1"/>
  <c r="L70" i="1"/>
  <c r="S69" i="1"/>
  <c r="P69" i="1"/>
  <c r="M69" i="1"/>
  <c r="L69" i="1"/>
  <c r="S68" i="1"/>
  <c r="P68" i="1"/>
  <c r="M68" i="1"/>
  <c r="L68" i="1"/>
  <c r="S67" i="1"/>
  <c r="P67" i="1"/>
  <c r="M67" i="1"/>
  <c r="L67" i="1"/>
  <c r="S66" i="1"/>
  <c r="P66" i="1"/>
  <c r="M66" i="1"/>
  <c r="L66" i="1"/>
  <c r="S65" i="1"/>
  <c r="P65" i="1"/>
  <c r="M65" i="1"/>
  <c r="L65" i="1"/>
  <c r="A65" i="1"/>
  <c r="A66" i="1" s="1"/>
  <c r="A67" i="1" s="1"/>
  <c r="A68" i="1" s="1"/>
  <c r="A69" i="1" s="1"/>
  <c r="A70" i="1" s="1"/>
  <c r="A71" i="1" s="1"/>
  <c r="A72" i="1" s="1"/>
  <c r="A73" i="1" s="1"/>
  <c r="A74" i="1" s="1"/>
  <c r="A75" i="1" s="1"/>
  <c r="A76" i="1" s="1"/>
  <c r="A77" i="1" s="1"/>
  <c r="A78" i="1" s="1"/>
  <c r="A79" i="1" s="1"/>
  <c r="P64" i="1"/>
  <c r="M64" i="1"/>
  <c r="S63" i="1"/>
  <c r="P63" i="1"/>
  <c r="M63" i="1"/>
  <c r="L63" i="1"/>
  <c r="S62" i="1"/>
  <c r="P62" i="1"/>
  <c r="M62" i="1"/>
  <c r="L62" i="1"/>
  <c r="S61" i="1"/>
  <c r="P61" i="1"/>
  <c r="M61" i="1"/>
  <c r="L61" i="1"/>
  <c r="S60" i="1"/>
  <c r="P60" i="1"/>
  <c r="M60" i="1"/>
  <c r="L60" i="1"/>
  <c r="M59" i="1"/>
  <c r="L59" i="1"/>
  <c r="S58" i="1"/>
  <c r="P58" i="1"/>
  <c r="M58" i="1"/>
  <c r="L58" i="1"/>
  <c r="S57" i="1"/>
  <c r="P57" i="1"/>
  <c r="M57" i="1"/>
  <c r="L57" i="1"/>
  <c r="S56" i="1"/>
  <c r="P56" i="1"/>
  <c r="M56" i="1"/>
  <c r="L56" i="1"/>
  <c r="S55" i="1"/>
  <c r="P55" i="1"/>
  <c r="M55" i="1"/>
  <c r="L55" i="1"/>
  <c r="S54" i="1"/>
  <c r="P54" i="1"/>
  <c r="L54" i="1"/>
  <c r="S53" i="1"/>
  <c r="P53" i="1"/>
  <c r="M53" i="1"/>
  <c r="L53" i="1"/>
  <c r="S52" i="1"/>
  <c r="P52" i="1"/>
  <c r="M52" i="1"/>
  <c r="L52" i="1"/>
  <c r="S51" i="1"/>
  <c r="P51" i="1"/>
  <c r="L51" i="1"/>
  <c r="S50" i="1"/>
  <c r="P50" i="1"/>
  <c r="M50" i="1"/>
  <c r="L50" i="1"/>
  <c r="S49" i="1"/>
  <c r="P49" i="1"/>
  <c r="M49" i="1"/>
  <c r="L49" i="1"/>
  <c r="S48" i="1"/>
  <c r="P48" i="1"/>
  <c r="M48" i="1"/>
  <c r="L48" i="1"/>
  <c r="S47" i="1"/>
  <c r="P47" i="1"/>
  <c r="M47" i="1"/>
  <c r="L47" i="1"/>
  <c r="S46" i="1"/>
  <c r="P46" i="1"/>
  <c r="M46" i="1"/>
  <c r="L46" i="1"/>
  <c r="S45" i="1"/>
  <c r="P45" i="1"/>
  <c r="M45" i="1"/>
  <c r="L45" i="1"/>
  <c r="S44" i="1"/>
  <c r="P44" i="1"/>
  <c r="M44" i="1"/>
  <c r="L44" i="1"/>
  <c r="S43" i="1"/>
  <c r="P43" i="1"/>
  <c r="M43" i="1"/>
  <c r="L43" i="1"/>
  <c r="S42" i="1"/>
  <c r="P42" i="1"/>
  <c r="M42" i="1"/>
  <c r="L42" i="1"/>
  <c r="S41" i="1"/>
  <c r="P41" i="1"/>
  <c r="M41" i="1"/>
  <c r="L41" i="1"/>
  <c r="S40" i="1"/>
  <c r="P40" i="1"/>
  <c r="M40" i="1"/>
  <c r="L40" i="1"/>
  <c r="S39" i="1"/>
  <c r="P39" i="1"/>
  <c r="M39" i="1"/>
  <c r="L39" i="1"/>
  <c r="S38" i="1"/>
  <c r="P38" i="1"/>
  <c r="M38" i="1"/>
  <c r="L38" i="1"/>
  <c r="S37" i="1"/>
  <c r="M37" i="1"/>
  <c r="L37" i="1"/>
  <c r="S36" i="1"/>
  <c r="P36" i="1"/>
  <c r="M36" i="1"/>
  <c r="L36" i="1"/>
  <c r="S35" i="1"/>
  <c r="P35" i="1"/>
  <c r="M35" i="1"/>
  <c r="L35" i="1"/>
  <c r="S34" i="1"/>
  <c r="P34" i="1"/>
  <c r="M34" i="1"/>
  <c r="L34" i="1"/>
  <c r="S33" i="1"/>
  <c r="P33" i="1"/>
  <c r="M33" i="1"/>
  <c r="L33" i="1"/>
  <c r="S32" i="1"/>
  <c r="P32" i="1"/>
  <c r="M32" i="1"/>
  <c r="L32" i="1"/>
  <c r="S31" i="1"/>
  <c r="L31" i="1"/>
  <c r="S30" i="1"/>
  <c r="M30" i="1"/>
  <c r="L30" i="1"/>
  <c r="S29" i="1"/>
  <c r="P29" i="1"/>
  <c r="L29" i="1"/>
  <c r="S28" i="1"/>
  <c r="L28" i="1"/>
  <c r="S27" i="1"/>
  <c r="L27" i="1"/>
  <c r="S26" i="1"/>
  <c r="P26" i="1"/>
  <c r="M26" i="1"/>
  <c r="L26" i="1"/>
  <c r="M25" i="1"/>
  <c r="L25" i="1"/>
  <c r="S24" i="1"/>
  <c r="S23" i="1"/>
  <c r="P23" i="1"/>
  <c r="M23" i="1"/>
  <c r="L23" i="1"/>
  <c r="S22" i="1"/>
  <c r="L22" i="1"/>
  <c r="S21" i="1"/>
  <c r="P21" i="1"/>
  <c r="L21" i="1"/>
  <c r="A21" i="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P20" i="1"/>
  <c r="M20" i="1"/>
  <c r="L20" i="1"/>
  <c r="S19" i="1"/>
  <c r="P19" i="1"/>
  <c r="M19" i="1"/>
  <c r="L19" i="1"/>
  <c r="S18" i="1"/>
  <c r="P18" i="1"/>
  <c r="M18" i="1"/>
  <c r="L18" i="1"/>
  <c r="S17" i="1"/>
  <c r="P17" i="1"/>
  <c r="M17" i="1"/>
  <c r="L17" i="1"/>
  <c r="S16" i="1"/>
  <c r="P16" i="1"/>
  <c r="M16" i="1"/>
  <c r="S15" i="1"/>
  <c r="P15" i="1"/>
  <c r="M15" i="1"/>
  <c r="L15" i="1"/>
  <c r="S14" i="1"/>
  <c r="P14" i="1"/>
  <c r="M14" i="1"/>
  <c r="L14" i="1"/>
  <c r="S13" i="1"/>
  <c r="P13" i="1"/>
  <c r="M13" i="1"/>
  <c r="L13" i="1"/>
  <c r="P12" i="1"/>
  <c r="M12" i="1"/>
  <c r="S11" i="1"/>
  <c r="P11" i="1"/>
  <c r="S10" i="1"/>
  <c r="P10" i="1"/>
  <c r="M10" i="1"/>
  <c r="L10" i="1"/>
  <c r="S9" i="1"/>
  <c r="P9" i="1"/>
  <c r="M9" i="1"/>
  <c r="S8" i="1"/>
  <c r="P8" i="1"/>
  <c r="L8" i="1"/>
  <c r="S7" i="1"/>
  <c r="P7" i="1"/>
  <c r="M7" i="1"/>
  <c r="L7" i="1"/>
  <c r="S6" i="1"/>
  <c r="S5" i="1"/>
  <c r="P5" i="1"/>
  <c r="M5" i="1"/>
  <c r="L5" i="1"/>
  <c r="P4" i="1"/>
  <c r="S3" i="1"/>
  <c r="P3" i="1"/>
  <c r="M3" i="1"/>
  <c r="L3" i="1"/>
  <c r="A3" i="1"/>
  <c r="S2" i="1"/>
  <c r="A4" i="1" l="1"/>
  <c r="A5" i="1" s="1"/>
  <c r="A6" i="1" s="1"/>
  <c r="A7" i="1" s="1"/>
  <c r="A8" i="1" s="1"/>
  <c r="A9" i="1" s="1"/>
  <c r="A10" i="1" s="1"/>
  <c r="A11" i="1" s="1"/>
  <c r="A12" i="1" s="1"/>
  <c r="A13" i="1" s="1"/>
  <c r="A14" i="1" s="1"/>
  <c r="A15" i="1" s="1"/>
  <c r="A16" i="1" s="1"/>
  <c r="A17" i="1" s="1"/>
  <c r="A18" i="1" s="1"/>
  <c r="A19" i="1" s="1"/>
  <c r="A12" i="2"/>
  <c r="A13" i="2"/>
  <c r="A14" i="2" s="1"/>
  <c r="A15" i="2" s="1"/>
  <c r="A11"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2" i="2" l="1"/>
  <c r="A43" i="2" s="1"/>
  <c r="A44" i="2" s="1"/>
  <c r="A41" i="2"/>
</calcChain>
</file>

<file path=xl/comments1.xml><?xml version="1.0" encoding="utf-8"?>
<comments xmlns="http://schemas.openxmlformats.org/spreadsheetml/2006/main">
  <authors>
    <author>tc={0e113cdc-e3b8-4d57-8388-12edac225e0e}</author>
    <author>tc={02189ad7-f8f9-4a74-976a-1c8b38d72bf3}</author>
    <author>tc={7138e11b-274b-4153-bd1d-e5315663436f}</author>
    <author>tc={48c67a65-8982-49cf-b2a3-ce34e69dd46b}</author>
    <author>tc={BF0A6A7A-441F-4D13-9438-6697C034BC2E}</author>
    <author>tc={01989ff2-c342-47d5-a1cc-e25f26ca50b0}</author>
    <author>tc={e40ee278-152c-40b7-8c4a-30d319244ec7}</author>
    <author>tc={97015d57-9601-4f7e-ad2e-fa4d71ada2b8}</author>
    <author>tc={059b61c8-939c-4e60-94a1-706dbe4f4384}</author>
    <author>tc={f0be913a-1f07-4aa9-b2ff-7c8bf2e0ddae}</author>
    <author>tc={e956d8d5-20a4-4a1f-93d1-2b3433f5f6a2}</author>
    <author>tc={58224be8-444c-4a49-9693-4f84de0376b3}</author>
    <author>tc={408cecfb-a3d2-45f8-a3d0-ebc9c1d9593b}</author>
    <author>tc={9dec4cad-628a-4677-a1b2-ea360edf1225}</author>
    <author>tc={3ed2b5f1-bda0-4865-8d6a-e0665ff0ef8b}</author>
    <author>tc={d1da0c9c-efa0-4322-8b2d-bb1abd2b81e8}</author>
    <author>tc={EF15C2AE-ED19-4B01-89EC-6CC9C6483C4B}</author>
    <author>tc={4947189e-ae4b-429a-80ab-8e5496deba9d}</author>
    <author>tc={2e28e571-5748-4cb9-9782-57fbee2a27bb}</author>
    <author>tc={0631f9fa-6b1e-4304-b49d-bf2075709ca3}</author>
    <author>tc={e6659712-39bd-4be2-986a-0d1c31da0508}</author>
    <author>tc={427e931a-d058-42fc-a137-255043b24a61}</author>
    <author>tc={0b626e67-648f-48d9-88fd-c64b4c112b12}</author>
    <author>tc={1f12597b-a5ec-4963-b49e-59198db16ef2}</author>
    <author>tc={ff0bc8bb-c562-4665-a12a-6f596b4435fe}</author>
    <author>tc={53f0c4b0-bf8a-4a35-a697-4c5bbe12cb95}</author>
    <author>tc={fa173ee4-0a74-4cad-81df-3d37f888d0d2}</author>
    <author>tc={b8c9c38e-ee7d-41d5-b2c6-9217aaec0e17}</author>
    <author>tc={2b2a3487-6057-4959-9843-385f4c5b1e05}</author>
    <author>tc={77d6ec83-0174-40b6-a25e-9a14dbef0815}</author>
    <author>tc={6e4c04c9-92ee-4275-9606-fd5749cd820c}</author>
    <author>tc={6d76cda4-80c9-42dd-a147-ea9be3daa84b}</author>
    <author>tc={770e582e-f50a-4d4a-93d2-6d8c6125aad1}</author>
    <author>tc={ec08ee09-552b-4756-afc7-b3f26d92f3b8}</author>
    <author>tc={3c07c291-f3c1-4869-8095-9fc4b48fd9c5}</author>
    <author>tc={ca931ec3-c522-4cb6-b66a-9796289a710c}</author>
    <author>tc={1489fbc0-a3d8-4981-a3e7-ba2a218789a9}</author>
    <author>tc={1f298bb8-1a1e-4798-95d2-210936323b83}</author>
    <author>tc={bf39d67e-e5d1-4109-9701-a2ba8d492737}</author>
    <author>tc={256a8d37-da2a-46e0-b99b-7f423770bfc1}</author>
    <author>tc={51dc51b8-ec1e-4610-8b73-473042caf9bd}</author>
    <author>tc={c218a5f1-0b75-467e-9d2c-578db5908cfb}</author>
    <author>tc={0910706c-7c86-4a63-b4b9-1085f8aaf84a}</author>
    <author>tc={afcf6667-087f-4f36-8f20-0b24d2506c5f}</author>
    <author>tc={eb3710d3-1cef-46f6-9b76-6b4f547c588d}</author>
    <author>tc={21d7f1a2-d0d6-4235-9de8-f4af3d46211b}</author>
    <author>tc={85777296-8E47-4945-B416-E545BEEDF70E}</author>
    <author>tc={9927203b-11cc-4227-a747-f59c7610c04f}</author>
  </authors>
  <commentList>
    <comment ref="A1" authorId="0">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العميل بلغ ان ليه طلبات تم
بالفعل عمل جزء منها و الاخر لسه متعملش منها جزء الشامل و الغير شامل الضريبه في 
المبيعات و المشتريات 
و تم الرجوع للدعم الفني و بلغوا ان في طلب هياخد وقت لانه في اولويات 
ولكن باقي التاسكات سهله و العميل هيبلغ الدعم
Reply:
    الدعم الفني : محمد حمدي بلغ ان مفيش حد اشتغل عليه</t>
        </r>
      </text>
    </comment>
    <comment ref="L1" authorId="1">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بيتم فقط جمع اليوزرات النشطه فقط</t>
        </r>
      </text>
    </comment>
    <comment ref="B2" authorId="2">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يتم التحقق من حاله عمل الشركه</t>
        </r>
      </text>
    </comment>
    <comment ref="B6" authorId="3">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صيانه العميل السنوي شامل الضريبه : 8625</t>
        </r>
      </text>
    </comment>
    <comment ref="L6" authorId="4">
      <text>
        <r>
          <rPr>
            <b/>
            <sz val="11"/>
            <color theme="1"/>
            <rFont val="Georgia"/>
            <scheme val="minor"/>
          </rPr>
          <t xml:space="preserve">[Threaded comment]
Your version of Excel allows you to read this threaded comment; however, any edits to it will get removed if the file is opened in a newer version of Excel. Learn more: https://go.microsoft.com/fwlink/?linkid=870924
Comment:
    فيه يوزرات كتير للدوام ويوزرات مش شغاله كان تست و باسم م طلعت حاجات قديمة كان بيتم التجربة عليها فا عدد اليوزرات من الممكن الفعلى يكون اقل بكتير
</t>
        </r>
      </text>
    </comment>
    <comment ref="V6" authorId="5">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العميل عنده محطتين و عنده 14 يوزر علي نظام اداره المحطات</t>
        </r>
      </text>
    </comment>
    <comment ref="B7" authorId="6">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تم الابلاغ بايقاف النظام علي الشركه</t>
        </r>
      </text>
    </comment>
    <comment ref="B8" authorId="7">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هيتم اعتماد بيانات العميل من الدعم الفني
Reply:
    هيتم التاكد من بيانات الشركه 
عليه سنتين 1500 * 2
Reply:
    شغال حسابات فقط وتم التحصيل منه من قريب 3000 ريال لان سيرفر a2hosting كان قفل عليه</t>
        </r>
      </text>
    </comment>
    <comment ref="B9" authorId="8">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الصيانه السنوية : 1380  شامل الضريبة</t>
        </r>
      </text>
    </comment>
    <comment ref="B10" authorId="9">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العميل بلغ ان هو استبدل النظام بنظام اخر</t>
        </r>
      </text>
    </comment>
    <comment ref="B11" authorId="10">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الصيانه السنوية : 3450 شامل الضريبة</t>
        </r>
      </text>
    </comment>
    <comment ref="B12" authorId="11">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عايزين يتم مراجعه الصيانه السنويه للعميل</t>
        </r>
      </text>
    </comment>
    <comment ref="B14" authorId="12">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 مبلغ الصيانه شامل الضريبة 
- اخر تحصيل 30-12-2024
Reply:
    تاريخ اخر مطالبه : 4-9-2026</t>
        </r>
      </text>
    </comment>
    <comment ref="B16" authorId="13">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لم يتم التحصيل</t>
        </r>
      </text>
    </comment>
    <comment ref="B18" authorId="14">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مصطفي قاعود بلغ ان ملهمش صيانة</t>
        </r>
      </text>
    </comment>
    <comment ref="B19" authorId="15">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محتاجين نعرف حاله العميل شغال ام لا</t>
        </r>
      </text>
    </comment>
    <comment ref="B20" authorId="16">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تم نقل  الشركة  الى رابط اخر اسمه modernglory 
مع الاحتفاظ بالرابط الحالى للاطلاع يمكن المحاسبة عليه كيوزر اطلاع</t>
        </r>
      </text>
    </comment>
    <comment ref="B22" authorId="17">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تم التواصل مع محمد عبدالعاطي في دبل سفن و بلغني انه هيراجع اليوزرات اللي شغاله و هيبلغني</t>
        </r>
      </text>
    </comment>
    <comment ref="B25" authorId="18">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العميل كان مبلغ ان عنده مشكله في الشركه و الشركه واقفه فتره و لما ترجع تشتغل هيبلغنا</t>
        </r>
      </text>
    </comment>
    <comment ref="B26" authorId="19">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النظام الخاص بالعميل متوقف</t>
        </r>
      </text>
    </comment>
    <comment ref="B27" authorId="20">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لا اعرف اي بيانات عن محطات ايكون</t>
        </r>
      </text>
    </comment>
    <comment ref="B28" authorId="21">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مع بشمهندس طلعت</t>
        </r>
      </text>
    </comment>
    <comment ref="B29" authorId="22">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محتاجين نكلم طه نعرف منه التفاصيل عشان عليه سنتين</t>
        </r>
      </text>
    </comment>
    <comment ref="B31" authorId="23">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ملاحظه تذكره لبشمهندس طلعت لمتابعه تحصيل الاتش ار</t>
        </r>
      </text>
    </comment>
    <comment ref="B32" authorId="24">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قاعود هيبعتها
Reply:
    مصطفي قاعود بلغ : هيتم ايقافها ليس لها اي بيانات و هيتم مراجعتها مع بشمهندس طلعت</t>
        </r>
      </text>
    </comment>
    <comment ref="B33" authorId="25">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هيتم مراجعه بشمهندس طلعت في العميل
Reply:
    بشمندس طلعت بلغ انها تبعه</t>
        </r>
      </text>
    </comment>
    <comment ref="B35" authorId="26">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تم ابلاغي من مصطفي قاعود ان العميل مش بيدفع صيانه و هو تبع شركات الاهرامات الاربعه</t>
        </r>
      </text>
    </comment>
    <comment ref="B36" authorId="27">
      <text>
        <r>
          <rPr>
            <b/>
            <sz val="11"/>
            <color theme="1"/>
            <rFont val="Georgia"/>
            <scheme val="minor"/>
          </rPr>
          <t xml:space="preserve">[Threaded comment]
Your version of Excel allows you to read this threaded comment; however, any edits to it will get removed if the file is opened in a newer version of Excel. Learn more: https://go.microsoft.com/fwlink/?linkid=870924
Comment:
    لا يوجد معلومات عندي لها
Reply:
    ازاي مخطات الوقود بيتم حصر اليوزرات الخاصه به
Reply:
    النظام لسه تحت التشغيل 
</t>
        </r>
      </text>
    </comment>
    <comment ref="B40" authorId="28">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عليه اضافه مندوب</t>
        </r>
      </text>
    </comment>
    <comment ref="B41" authorId="29">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لا يوجد له بيانات
Reply:
    مع قاعود
Reply:
    العميل مش بيشتغل الباقه واقفه</t>
        </r>
      </text>
    </comment>
    <comment ref="J41" authorId="30">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محمد حمدي بلغ انه مش شغال</t>
        </r>
      </text>
    </comment>
    <comment ref="B46" authorId="31">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بيانات العميل مع بشمهندس طلعت</t>
        </r>
      </text>
    </comment>
    <comment ref="B47" authorId="32">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في شركه اخري تبع حاتم واخده اشتراك 200 ريال
Reply:
    الاشتراك من غير ضريبة ( 450 كيان الزراعية )
Reply:
    العميل عليه 3 شهور و تم ارسال مطالبه ليه</t>
        </r>
      </text>
    </comment>
    <comment ref="B48" authorId="33">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العميل شغال شهري و هيتم مراجعه اليوزرات الخاصه به عشان يتم ارسال مطالبه له بالصيانة
Reply:
    هيتم ايقاف السيستم</t>
        </r>
      </text>
    </comment>
    <comment ref="B49" authorId="34">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العميل باعت اجزاء لكن المديونية الكامله غير معلومه</t>
        </r>
      </text>
    </comment>
    <comment ref="B50" authorId="35">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حاله العميل : 
- عليه مديونية قديمه + صيانة 
- العميل تم التقسيط له ولم يتم ابلاغي بشكل واضح غير انه بيدفع شهريا 1500 ريال ( لم يتم ابلاغي ب كامل المديونية و تفاصيلها و كم عدد الدفعات التي تم سدادها و كم عدد الدفعات المتبقي 
يتم مراجعه العميل من شهر 1 الي شهر 4</t>
        </r>
      </text>
    </comment>
    <comment ref="B51" authorId="36">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بشمهندس طلعت بلغ ان عليه مديونية و سيتم ابلاغي بالمديونية من بشمهندس طلعت
Reply:
    العميل بيشتغل فاتورة كل فترة لانه كان له طلب تخصيص معين لفواتير المبيعات ولم يتم استكماله واخر فاتورة تمت يوم2 الشهرى الحالى
له يوزر حسابات ولاكن لا يعمل على الحسابات ومفصول حسابات</t>
        </r>
      </text>
    </comment>
    <comment ref="B53" authorId="37">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لا يوجد بيانات عن الشركه
Reply:
    مع بشمهندس طلعت</t>
        </r>
      </text>
    </comment>
    <comment ref="B54" authorId="38">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الاشتراك شامل الضريبه : 446
الاشتراك عير شامل الضريبة : 387.83</t>
        </r>
      </text>
    </comment>
    <comment ref="B55" authorId="39">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شركات الوقود لا اعرف عنها اي شي</t>
        </r>
      </text>
    </comment>
    <comment ref="B56" authorId="40">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لا يوجد بيانات عن الشركه
Reply:
    الصيانه السنويه مع بشمهندس طلعت</t>
        </r>
      </text>
    </comment>
    <comment ref="B58" authorId="41">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الشركة عليها تحصيلات لم يتم سدادها</t>
        </r>
      </text>
    </comment>
    <comment ref="B63" authorId="42">
      <text>
        <r>
          <rPr>
            <b/>
            <sz val="11"/>
            <color theme="1"/>
            <rFont val="Georgia"/>
            <scheme val="minor"/>
          </rPr>
          <t xml:space="preserve">[Threaded comment]
Your version of Excel allows you to read this threaded comment; however, any edits to it will get removed if the file is opened in a newer version of Excel. Learn more: https://go.microsoft.com/fwlink/?linkid=870924
Comment:
    المدعي عليه سنتين 2000
Reply:
    نظام المحاماه وله سيرفر خاص به </t>
        </r>
      </text>
    </comment>
    <comment ref="B64" authorId="43">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عليه 2400 قبل الضريبه عليه نظام الحسابات سنوي 
هيتم مراجعتها مع محمد حمدي</t>
        </r>
      </text>
    </comment>
    <comment ref="B68" authorId="44">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الوقود معنديش معلومات عنها</t>
        </r>
      </text>
    </comment>
    <comment ref="B69" authorId="45">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يتم مراجعه نجوم الارض</t>
        </r>
      </text>
    </comment>
    <comment ref="B70" authorId="46">
      <text>
        <r>
          <rPr>
            <b/>
            <sz val="11"/>
            <color theme="1"/>
            <rFont val="Georgia"/>
            <scheme val="minor"/>
          </rPr>
          <t xml:space="preserve">[Threaded comment]
Your version of Excel allows you to read this threaded comment; however, any edits to it will get removed if the file is opened in a newer version of Excel. Learn more: https://go.microsoft.com/fwlink/?linkid=870924
Comment:
    تم اشتراك العميل والدفع ولم يبدء العمل اطلاقا </t>
        </r>
      </text>
    </comment>
    <comment ref="B78" authorId="47">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بياناتها مع بشمهندس طلعت</t>
        </r>
      </text>
    </comment>
  </commentList>
</comments>
</file>

<file path=xl/comments2.xml><?xml version="1.0" encoding="utf-8"?>
<comments xmlns="http://schemas.openxmlformats.org/spreadsheetml/2006/main">
  <authors>
    <author>tc={16c5be27-a55b-4c36-866d-eab1c7d3008d}</author>
    <author>tc={24b8de91-b018-4e15-bbf2-0f3075fd0643}</author>
    <author>tc={9ebf71ad-c254-40fc-93dd-d2d47f630834}</author>
    <author>tc={4c74820c-b612-4e5b-90ba-eeb4ae801939}</author>
    <author>tc={63808d50-34ea-4beb-ad8e-e3561ee11b7c}</author>
    <author>tc={76143eb0-1d97-499e-9b1f-54481283c9b6}</author>
    <author>tc={aba0c776-86c9-44b2-ba01-142e99fcdb29}</author>
    <author>tc={479f3eb2-22e3-4cde-9e2d-8c99cad352a7}</author>
    <author>tc={3533019e-b3d2-49c4-a1f4-c1a4e9b284bb}</author>
    <author>tc={b61937d6-9687-4dd0-9d4b-7da18cf6095a}</author>
    <author>tc={dbd746e1-5425-4be5-9ad8-98b3c2a96ee4}</author>
    <author>tc={44d664cb-398c-4ed3-b65d-e28f23172940}</author>
    <author>tc={512c3bca-1a25-4862-bbbf-e13fb6beaa34}</author>
    <author>tc={4fc74253-cddd-4473-932e-165d26ddbfef}</author>
    <author>tc={0cbbce89-9f98-44be-8bd2-141fa095d242}</author>
    <author>tc={cef83ffa-cbf2-4f19-8665-b6bf076a01cb}</author>
    <author>tc={a9e97c41-ef49-495e-bb34-0f5d2db30cf3}</author>
    <author>tc={7ea67fe3-b493-4b38-9552-59f900e83853}</author>
    <author>tc={37adbe39-771f-481e-8b19-c81e4354f4ae}</author>
    <author>tc={50bad237-72da-4328-bddf-f32a6b8481f1}</author>
    <author>tc={0c774912-3324-4d2a-9324-8b64fd7acb32}</author>
    <author>tc={c2f71034-38ce-4ff2-b3a2-e7534ad33f31}</author>
    <author>tc={af98ec62-84ea-4de6-879a-26e231b905cb}</author>
    <author>tc={1aac0767-bb82-44e3-94b0-f98603225b8e}</author>
    <author>tc={a9388719-b125-43ae-ae56-311567e67c03}</author>
    <author>tc={c04f3e50-e48b-4316-8710-3256891cd064}</author>
    <author>tc={075c5891-0be3-4217-9d8f-9b27a149e7d6}</author>
    <author>tc={6baeeb15-f5a3-46c8-b7f2-b5ae01ea1f07}</author>
    <author>tc={daeed770-ce92-4330-ab0d-7a1e57b700b6}</author>
    <author>tc={d6345a5f-afe6-494e-bc89-1ff4748be0b3}</author>
    <author>tc={c9071180-ce34-45c5-b57a-5a1fff41c5eb}</author>
    <author>tc={e8b48ea4-fa0f-49c2-86e0-6ad408876b4c}</author>
    <author>tc={f5d7d0c2-7838-4dab-ad81-4b38da3d3804}</author>
    <author>tc={8354ec96-a694-483b-bf58-7ed26a1c5817}</author>
    <author>tc={5728fc76-429d-421d-a8bd-390f5975a62f}</author>
    <author>tc={1912792c-d2b8-44b7-a3e8-b9c0000f342e}</author>
    <author>tc={0edfd38c-64a4-42b6-b22c-15bb937cdb8e}</author>
    <author>tc={90631dc2-300b-4194-b350-0ac6c4704efd}</author>
    <author>tc={936a9dae-173f-4442-be33-c68a9872e0fa}</author>
    <author>tc={3bc07415-fa60-4702-9a3d-ebcb64e663ed}</author>
    <author>tc={f31f1338-709e-4299-982e-8f53e39a369b}</author>
    <author>tc={58269bac-7806-44e3-ae75-f4beadda3b8e}</author>
  </authors>
  <commentList>
    <comment ref="I2" authorId="0">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يتم وضعها في قائمه الشركات التي ستتوقف عن العمل</t>
        </r>
      </text>
    </comment>
    <comment ref="I3" authorId="1">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محمد عبدالعاطي مش بيرد علي الهاتف 
هيتم التواصل مع مسئول اخر في حاله عدم الرد
Reply:
    صيانه العميل : 10500 
العميل دفع : 5745
الباقي المستحق :4,755</t>
        </r>
      </text>
    </comment>
    <comment ref="I4" authorId="2">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تم الاتصال ب محمد عبدالعاطي و لكن العميل مش بيرد و هيتم التواصل مع احد اخر من الاداره</t>
        </r>
      </text>
    </comment>
    <comment ref="I5" authorId="3">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 يتم مراجعه اخر تحجصيل للعميل و ارساله مطالبه مطابقه لاخر تحصيل 
-لو لم يتم ايجاد مطالبه يتم ارسال تحصيل من العميل ب 1000 ريال فقط 
- بناءا علي تعلميات بشمهندس طلعت
Reply:
    تم عمل مطالبه ماليه بقيمه 1150 ريال بالضريبه و تم ارسالها لفارس المحاسب في شركه يونيلا و بلغ ان هيحصل الاربعاء او الخميس و هيبلغ اول ما يحصل
Reply:
    العميل الغي النظام 
و بشمهندس طلعت بلغ ان كده العميل عليه 500 ريال
Reply:
    تم ارسال مطالبه ب 575 ريال شهريا</t>
        </r>
      </text>
    </comment>
    <comment ref="I6" authorId="4">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هيتم ارسال بيانات العميل لبشمهندس طلعت للمتابعه معه
يتم ارسال المعلومات احد الموظفين لبشمهندس طلعت</t>
        </r>
      </text>
    </comment>
    <comment ref="I7" authorId="5">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0 558686444
احمد النخبه
Reply:
    تم التواصل مع احمد من شركه النخبه ولكن لا يرد
Reply:
    تم التواصل مع احمد ولكن مش بيرد نهائي</t>
        </r>
      </text>
    </comment>
    <comment ref="I8" authorId="6">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تم التواصل مع خالد بخصوص المطالبه و بلغ انه هيخلي المسول ابو عبدالعزيز يتواصل مع بشمهندس طلعت عشان هو المسول عن المطالبات
Reply:
    بشمهندس طلعت بلغ  انه هيحصل من العميل
Marked as resolved</t>
        </r>
      </text>
    </comment>
    <comment ref="I9" authorId="7">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العميل هاتفه مغلق ولا يرد علي الواتساب
Reply:
    تم ارسال العميل من ضمن القائمه الي مصطفي قاعود لايقاف النظام عليه بسبب عدم الرد و التاخر في السداد
Reply:
    هيتم توقف النظام علي مجدي جميل</t>
        </r>
      </text>
    </comment>
    <comment ref="I10" authorId="8">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تم تحصيل منه 5000 و باقي 3000 ريال
23-4-2026 : العميل مش بيرد</t>
        </r>
      </text>
    </comment>
    <comment ref="I11" authorId="9">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العميل طلب اضافه يوزر مندوب و تم ارسال مطالبه له و في انتظار التحويل عشان يتم تفعيل اليوزر له
Reply:
    تم تحصيل يوزر مندوب بقيمه 1150</t>
        </r>
      </text>
    </comment>
    <comment ref="I12" authorId="10">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تم تحصيل 5000 جنيه المطالبه الماليه الخاصه بنظام الحسابات</t>
        </r>
      </text>
    </comment>
    <comment ref="I13" authorId="11">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مهندس طلعت بلغ انه هيتواصل معاه عشان المشكله اللي عنده
Reply:
    بشمهندس طلعت بلغ انه هيتم فصل النظام عليه و لكن لسه لم يتم التاكيد</t>
        </r>
      </text>
    </comment>
    <comment ref="I14" authorId="12">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تفاصيل صيانه النجمة للتجاره : 
- الصيانه السنوية للعميل ( 10500 ) 
- تم تحصيل من العميل يوم ( 19-1-2026) 5745 ريال 
- الباقي المستحق 4755 ريال</t>
        </r>
      </text>
    </comment>
    <comment ref="I15" authorId="13">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الصيانه السنوية للعميل : 
- الاجمالي : 10500 ريال 
- تم سداد 5745 ريال 
- الباقي 4755 ريال 
هيتم ارسال مطالبه للعميل بالمديونية</t>
        </r>
      </text>
    </comment>
    <comment ref="I16" authorId="14">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تم عمل مطالبه شهريه للعميل و تم ارسالها الي مصطفي قاعود للمراجعه و ارسالها الي العميل للتحصيل ( المطالبه شامله الضريبة )
Reply:
    التحصيل من شهر السابق من مصطفي قاعود و ارسالها ل طلعت
Reply:
    بشمهندس طلعت طلب
Marked as resolved</t>
        </r>
      </text>
    </comment>
    <comment ref="I17" authorId="15">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تحصيل الصيانه السنوية : 3450  ريال
Reply:
    العميل عليه 450
Reply:
    تم تحصيل 3000 لكن الصيانه السنويه للعميل 3450
هيتم مراجعه قاعود فيها</t>
        </r>
      </text>
    </comment>
    <comment ref="I18" authorId="16">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مديونية العميل : 6500
Reply:
    العميل عليه اقساط و يتم مراجعتها مع مصطفي قاعود
Reply:
    بعد مراجعه الواتساب لمنذر محاسب في فروج الريف العميل دفه دفعه و بعت فايل التحويل لكن الفايل مش بينزل مبقاش متاح انزله علي الواتس 
و كان مبلغ ان حد يروح و يحصل منه في الشركه كاش و لكن في الشات مش باين هل حد حصل او لا 
و بلغ انهه عايز يوقف بعض اليوزرات عشان مش بيستخدمها
Reply:
    تمت  مراجعه منذر في اليوزرات اللي شغاله و بلغ ان اليوزرات اللي شغاله عنده 4 فقط مش عشره و هم 
يوزر منذر - محمد رابح 
يوزر مناديب ( مصطفي سراج  - حسام )</t>
        </r>
      </text>
    </comment>
    <comment ref="I19" authorId="17">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تحصيل اضافه يوزرات
Reply:
    تم التحصيل من العميل
Reply:
    تم تحصيل من العميل 5000</t>
        </r>
      </text>
    </comment>
    <comment ref="I20" authorId="18">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العميل متوقف و هيتم المتابعه معه
Reply:
    يتم ايقاف السيستم</t>
        </r>
      </text>
    </comment>
    <comment ref="I21" authorId="19">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العميل اشتراك شهري
اخر اشتراك تم دفعه بتاريخ : 23-4-2025</t>
        </r>
      </text>
    </comment>
    <comment ref="I22" authorId="20">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العميل ارسل تجديد 6 شهور 1200 ريال</t>
        </r>
      </text>
    </comment>
    <comment ref="I23" authorId="21">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لا يوجد اي بيانات تحصيل و اخر تحصيل تم بتاريخ استحقاق 12/26/2025
Reply:
    التاكيد من مصطفي ان التحويل تم من العميل</t>
        </r>
      </text>
    </comment>
    <comment ref="I24" authorId="22">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تحصيل سنوي واخر تحصيل تم بتاريخ استحقاق 9/23/2024
Reply:
    مع بشمندس طلعت</t>
        </r>
      </text>
    </comment>
    <comment ref="I25" authorId="23">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تاريخ اخر استحقاق : 10/2/2025
Reply:
    التاكد من قاعود  من ارسال  تحويل من العميل</t>
        </r>
      </text>
    </comment>
    <comment ref="I26" authorId="24">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عليه مديوينة سابقه : 5000 hR
Reply:
    تم ارسال المطالبه ل عبدالغني و في انتظار التحصيل منه و هيتم المتابعه معاه للتحصيل</t>
        </r>
      </text>
    </comment>
    <comment ref="I27" authorId="25">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مراجعه يوزرات العميل و تحصيل منه الاشتراك الشهري
Reply:
    هيتم مراجعه العميل و هيتم ايقافه</t>
        </r>
      </text>
    </comment>
    <comment ref="I28" authorId="26">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تحصيل اشتراك شهري
Reply:
    - العميل اشتراكه الشهري ( 230 ) 
- هيتم ارسال رساله المطالبه الخاصه للعميل 
- هيتم ارسال عرض سعر سنوي للعميل لشركته</t>
        </r>
      </text>
    </comment>
    <comment ref="I29" authorId="27">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مديونية علي العميل : 1152.5 ريال
Reply:
    هناك شركه اخري مقاولات تابعه له اشتراكها الشهري 200  هيتم مراجعته
Reply:
    تم تحصيل مديونية كيان  كامله</t>
        </r>
      </text>
    </comment>
    <comment ref="I30" authorId="28">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العميل عليه سنتين اجمالي : 10000 ريال</t>
        </r>
      </text>
    </comment>
    <comment ref="I31" authorId="29">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العميل حول 200 ريال و بلغ ان ده الاتفاق مع بشمهندس طلعت</t>
        </r>
      </text>
    </comment>
    <comment ref="I32" authorId="30">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التحصيل بالكامل كان مع مصطفي قاعود من البدايه الي التحصيل</t>
        </r>
      </text>
    </comment>
    <comment ref="I34" authorId="31">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تحصيل تم من لتر بوينت دفعه 10000</t>
        </r>
      </text>
    </comment>
    <comment ref="I35" authorId="32">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العميل عمل تحويل دفعه 13-5-2026 ب 10000 ريال</t>
        </r>
      </text>
    </comment>
    <comment ref="I36" authorId="33">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تم التحصيل من العميل اليوم</t>
        </r>
      </text>
    </comment>
    <comment ref="I37" authorId="34">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تم تحويل من العميل</t>
        </r>
      </text>
    </comment>
    <comment ref="I38" authorId="35">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العميل حول المديونيه الشهريه و تم فتح النظام له شهر</t>
        </r>
      </text>
    </comment>
    <comment ref="I39" authorId="36">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تم ارسال المطالبه للعميل و هيتم المتابعه معه الاسبوع المقبل للتحصيل</t>
        </r>
      </text>
    </comment>
    <comment ref="I40" authorId="37">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التجديد السنوي</t>
        </r>
      </text>
    </comment>
    <comment ref="I41" authorId="38">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في انتظار الموافقه مع العميل و عمل التحويل المالي المقدر ب 10000 جنية مصري</t>
        </r>
      </text>
    </comment>
    <comment ref="I42" authorId="39">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الانتجريشن مع shopify
Reply:
    تم تحويل الانتجريشن مع شوفيفاي
Reply:
    5000  جنية مصري</t>
        </r>
      </text>
    </comment>
    <comment ref="I43" authorId="40">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هيتم المتابعه مع العميل يوم</t>
        </r>
      </text>
    </comment>
    <comment ref="I44" authorId="41">
      <text>
        <r>
          <rPr>
            <b/>
            <sz val="11"/>
            <color theme="1"/>
            <rFont val="Georgia"/>
            <scheme val="minor"/>
          </rPr>
          <t>[Threaded comment]
Your version of Excel allows you to read this threaded comment; however, any edits to it will get removed if the file is opened in a newer version of Excel. Learn more: https://go.microsoft.com/fwlink/?linkid=870924
Comment:
    ارسال عرض سعر زياره للمحطه ايكون 
بسعر 1725 شامل الضريبه 
و علي ان يتم التحويل اليوم لزياره المحطه</t>
        </r>
      </text>
    </comment>
  </commentList>
</comments>
</file>

<file path=xl/sharedStrings.xml><?xml version="1.0" encoding="utf-8"?>
<sst xmlns="http://schemas.openxmlformats.org/spreadsheetml/2006/main" count="791" uniqueCount="391">
  <si>
    <t>التسلسل</t>
  </si>
  <si>
    <t>اسم الشركة</t>
  </si>
  <si>
    <t>القطاع</t>
  </si>
  <si>
    <t>الرابط الأساسي</t>
  </si>
  <si>
    <t xml:space="preserve">رقم الهاتف </t>
  </si>
  <si>
    <t>تجديد الباقة الشهرية</t>
  </si>
  <si>
    <t xml:space="preserve">حاله العميل </t>
  </si>
  <si>
    <t xml:space="preserve">المدينة </t>
  </si>
  <si>
    <t xml:space="preserve">عدد الموظفين </t>
  </si>
  <si>
    <t xml:space="preserve">حسابات </t>
  </si>
  <si>
    <t>حسابات نشط</t>
  </si>
  <si>
    <t>حسابات غير نشط</t>
  </si>
  <si>
    <t>مخزون</t>
  </si>
  <si>
    <t>مخزون نشط</t>
  </si>
  <si>
    <t>مخزون غير نشط</t>
  </si>
  <si>
    <t>اجمالي المناديب</t>
  </si>
  <si>
    <t>عدد المناديب النشطة</t>
  </si>
  <si>
    <t>عدد المناديب الغير نشطة</t>
  </si>
  <si>
    <t>محطات وقود</t>
  </si>
  <si>
    <t>صيانة</t>
  </si>
  <si>
    <t xml:space="preserve">اصول </t>
  </si>
  <si>
    <t>نقليات</t>
  </si>
  <si>
    <t>موارد بشريه</t>
  </si>
  <si>
    <t xml:space="preserve">اداره الانتاج و التصنيع </t>
  </si>
  <si>
    <t>عقارات</t>
  </si>
  <si>
    <t>تطبيق العملاء</t>
  </si>
  <si>
    <t>ويب سايت</t>
  </si>
  <si>
    <t>ميلات</t>
  </si>
  <si>
    <t>ايكومان</t>
  </si>
  <si>
    <t>سنوي</t>
  </si>
  <si>
    <t xml:space="preserve">يعمل </t>
  </si>
  <si>
    <t>ABC للشحن</t>
  </si>
  <si>
    <t>شحن</t>
  </si>
  <si>
    <t>ABC.raitosystem.com</t>
  </si>
  <si>
    <t>محمد مردي
رامي يعقوب</t>
  </si>
  <si>
    <t>0 10 68821215
0 10 00052353</t>
  </si>
  <si>
    <t>شامل</t>
  </si>
  <si>
    <t>شعاع طلال</t>
  </si>
  <si>
    <t>تجاره المواد الغذائيه</t>
  </si>
  <si>
    <t xml:space="preserve">مصطفي </t>
  </si>
  <si>
    <t>حفر الباطن</t>
  </si>
  <si>
    <t>ملحمة العاصم</t>
  </si>
  <si>
    <t>منتجات الدواجن / اللحوم</t>
  </si>
  <si>
    <t>https://elasem.raitosystem.com/</t>
  </si>
  <si>
    <t xml:space="preserve">خالد </t>
  </si>
  <si>
    <t>59 012 2568</t>
  </si>
  <si>
    <t>الرياض</t>
  </si>
  <si>
    <t>لا يعمل</t>
  </si>
  <si>
    <t>خالد الجهنى</t>
  </si>
  <si>
    <t>https://www.raitotec.org/khaled_accounts/login</t>
  </si>
  <si>
    <t>بدر البدر لخدمات الوقود</t>
  </si>
  <si>
    <t>وقود</t>
  </si>
  <si>
    <t>badralbar.raitosystem.com</t>
  </si>
  <si>
    <t xml:space="preserve">محمد يوسف </t>
  </si>
  <si>
    <t>50 083 7305</t>
  </si>
  <si>
    <t>الرياض
عرعر
الدمام 
مدينة الاحساء
مكة المكرمة
الليث
جده
المظيلف</t>
  </si>
  <si>
    <t>شركه الجمعية التعاونيه حفر الباطن للثروه الحيوانيه</t>
  </si>
  <si>
    <t>inventorysystem.raitosystem.com</t>
  </si>
  <si>
    <t>نايف الشمري</t>
  </si>
  <si>
    <t>service-one</t>
  </si>
  <si>
    <t>demo.raitosystem.com</t>
  </si>
  <si>
    <t>ابو احمد</t>
  </si>
  <si>
    <t>-</t>
  </si>
  <si>
    <t>مؤسسة سبل الغذاء</t>
  </si>
  <si>
    <t>subul.raitosystem.com</t>
  </si>
  <si>
    <t>مروان</t>
  </si>
  <si>
    <t>جده 
مكة المكرمة
المدينة المنورة</t>
  </si>
  <si>
    <t>يونيلا</t>
  </si>
  <si>
    <t>sweet-inventory.raitosystem.com</t>
  </si>
  <si>
    <t>صلاح</t>
  </si>
  <si>
    <t xml:space="preserve">مدينة الدمام - الاحساء </t>
  </si>
  <si>
    <t>عقارات الرياض</t>
  </si>
  <si>
    <t>http://riyadhaccount.raitosystem.com/</t>
  </si>
  <si>
    <t>محمود صديق 
جمال حمدان</t>
  </si>
  <si>
    <t>537636261
580421837</t>
  </si>
  <si>
    <t>الرياض: الملز
المنطقة الشرقية : الخبر</t>
  </si>
  <si>
    <t>فروج الريف</t>
  </si>
  <si>
    <t>alreefpoultry.raitosystem.com</t>
  </si>
  <si>
    <t xml:space="preserve">محمد المحاسب 
منذر </t>
  </si>
  <si>
    <t>540345467
548902321</t>
  </si>
  <si>
    <t>مؤسسة نجمة الانتاج الذهبي</t>
  </si>
  <si>
    <t>goldenstar.raitosystem.com</t>
  </si>
  <si>
    <t>مصطفي
 محمد السيد</t>
  </si>
  <si>
    <t>581838080
54 576 8273</t>
  </si>
  <si>
    <t>الاهرامات الاربعة  1</t>
  </si>
  <si>
    <t>fourpyramids.raitosystem.com</t>
  </si>
  <si>
    <t>اسلام</t>
  </si>
  <si>
    <t>الرياض
 مكة المكرمة
 جده</t>
  </si>
  <si>
    <t>مؤسسة فروج الاصالة للتجارة الجديده</t>
  </si>
  <si>
    <t>farujalasala.raitosystem.com</t>
  </si>
  <si>
    <t>المدينة المنورة</t>
  </si>
  <si>
    <t xml:space="preserve">مؤسسة النخبة </t>
  </si>
  <si>
    <t>alnokhba.raitosystem.com</t>
  </si>
  <si>
    <t xml:space="preserve">عمر المصري
احمد </t>
  </si>
  <si>
    <t>548070333
55 868 6444</t>
  </si>
  <si>
    <t>جدة</t>
  </si>
  <si>
    <t>مؤسسة اتقان الرعاية للتجارة</t>
  </si>
  <si>
    <t>تجارة المنتجات الطبية</t>
  </si>
  <si>
    <t>https://perfect-care.raitosystem.com/</t>
  </si>
  <si>
    <t>نبيل 
اسامه</t>
  </si>
  <si>
    <t>577694831
549961243</t>
  </si>
  <si>
    <t>ترود TROAD</t>
  </si>
  <si>
    <t>https://rapidoilstation.raitosystem.com/</t>
  </si>
  <si>
    <t>سعيد الزهران</t>
  </si>
  <si>
    <t>تبوك</t>
  </si>
  <si>
    <t>شركة القوى القصوة المحدودة</t>
  </si>
  <si>
    <t>https://alqasswalimited.raitosystem.com/</t>
  </si>
  <si>
    <t>مهندس محمد احمد</t>
  </si>
  <si>
    <t>صفى رواسي</t>
  </si>
  <si>
    <t xml:space="preserve">rawasi.raitosystem.com
</t>
  </si>
  <si>
    <t>محمد عبدالعاطي 
مصطفي الدوادمي 
ابراهيم الزياد</t>
  </si>
  <si>
    <t xml:space="preserve"> 534643451
 581883881
557436911</t>
  </si>
  <si>
    <t xml:space="preserve"> ينبع
 الدوادمي
 الطائف</t>
  </si>
  <si>
    <t>حامد للحسابات</t>
  </si>
  <si>
    <t>حسابات</t>
  </si>
  <si>
    <t>hamedaccounts.raitosystem.com</t>
  </si>
  <si>
    <t>شهري</t>
  </si>
  <si>
    <t>مصانع مياة</t>
  </si>
  <si>
    <t>دبل سفن</t>
  </si>
  <si>
    <t>doubleseven.raitosystem.com</t>
  </si>
  <si>
    <t>أيمن عوض
محمد صلاح</t>
  </si>
  <si>
    <t>53 457 7127
56 358 5005</t>
  </si>
  <si>
    <t>مجدي جميل</t>
  </si>
  <si>
    <t>magdy-jameel.raitosystem.com</t>
  </si>
  <si>
    <t>نصر الدين ابو عمر
مجدي جميل</t>
  </si>
  <si>
    <t>55 037 9757
549961454</t>
  </si>
  <si>
    <t>مؤسسة رحلة شوي لخدمات الإعاشة</t>
  </si>
  <si>
    <t>trip-inventory.raitosystem.com</t>
  </si>
  <si>
    <t>عالي الشمراني</t>
  </si>
  <si>
    <t>55 878 6008</t>
  </si>
  <si>
    <t>الباحة
الطائف</t>
  </si>
  <si>
    <t>مؤسسة بشائر حلا للمواد الغذائية</t>
  </si>
  <si>
    <t>bashayir-halaa.raitosystem.com</t>
  </si>
  <si>
    <t>مشرف صلاح</t>
  </si>
  <si>
    <t>58 334 6069</t>
  </si>
  <si>
    <t>Company Integrated B 2 B Orders</t>
  </si>
  <si>
    <t>integrated.raitosystem.com</t>
  </si>
  <si>
    <t xml:space="preserve"> 59 712 3992</t>
  </si>
  <si>
    <t xml:space="preserve">شركة صالح غرم االله أبوعدله الغامدي وأولاده
البترولية ( ايكون ) </t>
  </si>
  <si>
    <t>icon.raitosystem.com</t>
  </si>
  <si>
    <t>ابو ياسر
محاسب في الشركة
ناصر محطات ايكون</t>
  </si>
  <si>
    <t>053 868 2061
055 282 6135
059 351 0900</t>
  </si>
  <si>
    <t>شركة فلل للوقود</t>
  </si>
  <si>
    <t>system.aldhuhayan.com</t>
  </si>
  <si>
    <t>عبدالحميد بدران</t>
  </si>
  <si>
    <t>54 169 0189</t>
  </si>
  <si>
    <t>مطاحن مروج الصفا  للحبوب</t>
  </si>
  <si>
    <t>MaroujSafa.raitosystem.com</t>
  </si>
  <si>
    <t>أسامه المصري</t>
  </si>
  <si>
    <t>50 765 7393</t>
  </si>
  <si>
    <t xml:space="preserve">المدينة المنورة
الرياض </t>
  </si>
  <si>
    <t>الاهرامات الاربعة 3</t>
  </si>
  <si>
    <t>four-pyramids3.raitosystem.com</t>
  </si>
  <si>
    <t>احمد</t>
  </si>
  <si>
    <t>54 041 9701</t>
  </si>
  <si>
    <t>مؤسسة ظبي للمياة</t>
  </si>
  <si>
    <t>dhabi-water.raitosystem.com</t>
  </si>
  <si>
    <t xml:space="preserve">ابو حمزة مصنع الظبي
عبدالغني 
علي المدير المالي
</t>
  </si>
  <si>
    <t>50 997 7024
53 881 5715
50 675 9134</t>
  </si>
  <si>
    <t>شركة المساحة المتوفرة للتجارة</t>
  </si>
  <si>
    <t>availablespace.raitosystem.com</t>
  </si>
  <si>
    <t>العاصم للنقليات</t>
  </si>
  <si>
    <t>Asemtransport.raitosystem.com</t>
  </si>
  <si>
    <t>الاهرامات الاربعه 2</t>
  </si>
  <si>
    <t>fourpyramidsnew.raitosystem.com</t>
  </si>
  <si>
    <t>ابو سليمان
محمد ياسر
محاسب الاهرامات الفرع الثاني</t>
  </si>
  <si>
    <t>545309102
510762432
537398151</t>
  </si>
  <si>
    <t>عبد الله الدوسرى فرع 65 الجديد</t>
  </si>
  <si>
    <t>mubarakaldosarinew.raitosystem.com</t>
  </si>
  <si>
    <t>محمد الراعي</t>
  </si>
  <si>
    <t>54 006 5640</t>
  </si>
  <si>
    <t>شركة نقطة لتر للوقود</t>
  </si>
  <si>
    <t>literpoint.raitosystem.com</t>
  </si>
  <si>
    <t xml:space="preserve">م.عبدالله 
مدير مالي لتر بوينت
</t>
  </si>
  <si>
    <t>551539009
508594024
0539925025</t>
  </si>
  <si>
    <t>الاهرامات الاربعه 4</t>
  </si>
  <si>
    <t>four-pyramids4.raitosystem.com</t>
  </si>
  <si>
    <t>أحمد</t>
  </si>
  <si>
    <t>مؤسسة حلول الموجات للتجارة</t>
  </si>
  <si>
    <t>أجهزة الكترونية</t>
  </si>
  <si>
    <t>WavesSolutions.raitosystem.com</t>
  </si>
  <si>
    <t>بلال</t>
  </si>
  <si>
    <t>56 989 2349</t>
  </si>
  <si>
    <t>الرياض
مكة مكرمة
جده</t>
  </si>
  <si>
    <t>المستهلك الجيد</t>
  </si>
  <si>
    <t>GoodConsumer.raitosystem.com</t>
  </si>
  <si>
    <t>عمار</t>
  </si>
  <si>
    <t>53 036 3528</t>
  </si>
  <si>
    <t>مؤسسة أسوار الشرق لتجارة الأغذية</t>
  </si>
  <si>
    <t>Aswaralsharq.raitosystem.com</t>
  </si>
  <si>
    <t>محمد عبدالعاطي</t>
  </si>
  <si>
    <t>55 535 2937</t>
  </si>
  <si>
    <t>مؤسسة عبدالرحمن محمد حامد الجهني للمواشي والأعلاف</t>
  </si>
  <si>
    <t>HamedInventory.raitosystem.com</t>
  </si>
  <si>
    <t>مؤسسة مهند عبدالله الغامدي</t>
  </si>
  <si>
    <t>muhandalghamdy.raitosystem.com</t>
  </si>
  <si>
    <t xml:space="preserve">محمود </t>
  </si>
  <si>
    <t>56 004 4018</t>
  </si>
  <si>
    <t>مائدتي</t>
  </si>
  <si>
    <t>maadity.raitosystem.com</t>
  </si>
  <si>
    <t>نور رضا
عبدالرحمن عمر</t>
  </si>
  <si>
    <t xml:space="preserve">562963621
564480058
</t>
  </si>
  <si>
    <t>بلان الإعمار للمقالاوت</t>
  </si>
  <si>
    <t>plancontracting.raitosystem.net</t>
  </si>
  <si>
    <t>سفر الغامدي</t>
  </si>
  <si>
    <t>http://saferfoods.raitosystem.com/</t>
  </si>
  <si>
    <t>54 942 3347</t>
  </si>
  <si>
    <t>شركة ضواحي رانية للنقليات</t>
  </si>
  <si>
    <t>Raniatransport.raitosystem.com</t>
  </si>
  <si>
    <t>احمد عبدالرحمن</t>
  </si>
  <si>
    <t>54 839 2085</t>
  </si>
  <si>
    <t>الرياض 
جدة</t>
  </si>
  <si>
    <t>مؤسسة الكيان المتميز للزراعة</t>
  </si>
  <si>
    <t>تجارة المستلزمات الزراعية</t>
  </si>
  <si>
    <t xml:space="preserve">kayaanelzeraa.raitosystem.com </t>
  </si>
  <si>
    <t>حاتم</t>
  </si>
  <si>
    <t>53 533 7877</t>
  </si>
  <si>
    <t>الليث</t>
  </si>
  <si>
    <t>شركة نسمة المائدة</t>
  </si>
  <si>
    <t>NasmaAlMaeda.raitosystem.com</t>
  </si>
  <si>
    <t>جده</t>
  </si>
  <si>
    <t>ينابيع الاثير</t>
  </si>
  <si>
    <t>yanabiealathir.raitosystem.com</t>
  </si>
  <si>
    <t>ابو ترف
محمود</t>
  </si>
  <si>
    <t>53 710 7524
544759602</t>
  </si>
  <si>
    <t>مصنع ثراء نقاء السماء</t>
  </si>
  <si>
    <t>TharaaFactory.raitosystem.com</t>
  </si>
  <si>
    <t>محمود احمد</t>
  </si>
  <si>
    <t>منطقه الليث</t>
  </si>
  <si>
    <t>الشهري</t>
  </si>
  <si>
    <t>قماش</t>
  </si>
  <si>
    <t>http://alshehri.raitosystem.com/</t>
  </si>
  <si>
    <t>ابو فارس الشهري</t>
  </si>
  <si>
    <t>55 814 0400</t>
  </si>
  <si>
    <t>مؤسسة ولاء على للتجارة</t>
  </si>
  <si>
    <t>Walaa.raitosystem.com</t>
  </si>
  <si>
    <t>محمد مسعود</t>
  </si>
  <si>
    <t>50 846 0096</t>
  </si>
  <si>
    <t>شركة الرضى للدواجن</t>
  </si>
  <si>
    <t>AlRidhaPoultry.raitosystem.com</t>
  </si>
  <si>
    <t>59 875 7361</t>
  </si>
  <si>
    <t>المصريه جروب للصناعات الغذائيه</t>
  </si>
  <si>
    <t>egyptian.raitosystem.com</t>
  </si>
  <si>
    <t>اسلام احمد</t>
  </si>
  <si>
    <t>54 371 5207</t>
  </si>
  <si>
    <t>شركة البرق المتميزة للوقود</t>
  </si>
  <si>
    <t>lightningfuel.raitosystem.com</t>
  </si>
  <si>
    <t>احمد العايق
اشرف مدير المحطه</t>
  </si>
  <si>
    <t>53 202 1757
50 716 9195</t>
  </si>
  <si>
    <t>شركة زمرد القاهرة التجارية</t>
  </si>
  <si>
    <t>ZomorodCairo.raitosystem.com</t>
  </si>
  <si>
    <t>محمد المحاسب
محمد يوسف مدير مالي
محمد البنا</t>
  </si>
  <si>
    <t>057 517 0878
0 12 22844849
57 072 5073</t>
  </si>
  <si>
    <t>مصنع فراتا لتعبئة المياة</t>
  </si>
  <si>
    <t>furatawater.raitosystem.com</t>
  </si>
  <si>
    <t>عبدالرحمن قرني
محمود حجازي
مدير في الشركه</t>
  </si>
  <si>
    <t>57 034 4232
506039886
542232022</t>
  </si>
  <si>
    <t>الرياض
الخرج
جده
الشرقية</t>
  </si>
  <si>
    <t>مؤسسة النجمة للتجارة</t>
  </si>
  <si>
    <t>star.raitosystem.com</t>
  </si>
  <si>
    <t>53 464 3451</t>
  </si>
  <si>
    <t>الرياض
الطائف</t>
  </si>
  <si>
    <t>شركة شتلة</t>
  </si>
  <si>
    <t>مصنع مياه مانا</t>
  </si>
  <si>
    <t>شركة الجروان</t>
  </si>
  <si>
    <t>شركة فروج الأصالة</t>
  </si>
  <si>
    <t>https://farujalasala.raitosystem.com/</t>
  </si>
  <si>
    <t>50 269 0626</t>
  </si>
  <si>
    <t>المدعي</t>
  </si>
  <si>
    <t>https://almuddei.com.sa/system/login</t>
  </si>
  <si>
    <t>زهرة ماسة</t>
  </si>
  <si>
    <t>تجارة مواد صحية</t>
  </si>
  <si>
    <t>masa.raitosystem.com</t>
  </si>
  <si>
    <t>مدير الشركه</t>
  </si>
  <si>
    <t>50 751 9113</t>
  </si>
  <si>
    <t>ابتكار التقدم (الصقور العالية)</t>
  </si>
  <si>
    <t>مؤسسة ابار نجد للمياة والمشروبات الغازية</t>
  </si>
  <si>
    <t>الاكاديمية الامريكية</t>
  </si>
  <si>
    <t>بريك</t>
  </si>
  <si>
    <t>مؤسسة نجوم الارض التجارية</t>
  </si>
  <si>
    <t>Earthstars.raitosystem.com</t>
  </si>
  <si>
    <t>عمرو سليمان</t>
  </si>
  <si>
    <t>55 158 6321</t>
  </si>
  <si>
    <t>الطائف</t>
  </si>
  <si>
    <t>مصنع itop</t>
  </si>
  <si>
    <t>مؤسسة ياسر بن طاهر بن مصطفى سروجي للتجارة</t>
  </si>
  <si>
    <t xml:space="preserve">مومن 
</t>
  </si>
  <si>
    <t xml:space="preserve">54 512 5638
</t>
  </si>
  <si>
    <t>مؤسسة متعب محمد بن سعيد العسيري</t>
  </si>
  <si>
    <t>مؤسسة سفر بن يعن الله بن سعيد الغامدي للمواد الغذائية</t>
  </si>
  <si>
    <t>مؤسسة ظلال المجد</t>
  </si>
  <si>
    <t>مؤسسة غيمة النظام الجديد</t>
  </si>
  <si>
    <t>شركة وادى الريف</t>
  </si>
  <si>
    <t>https://wadielreef.raitosystem.com/</t>
  </si>
  <si>
    <t xml:space="preserve">محمد </t>
  </si>
  <si>
    <t>54 475 9602</t>
  </si>
  <si>
    <t>الشلالات</t>
  </si>
  <si>
    <t>https://unitedfalls.raitosystem.com/</t>
  </si>
  <si>
    <t xml:space="preserve">يحيي </t>
  </si>
  <si>
    <t>54 749 4429</t>
  </si>
  <si>
    <t>أرياش</t>
  </si>
  <si>
    <t>https://aryashpoultry.raitosystem.com/</t>
  </si>
  <si>
    <t>مدير الشركة</t>
  </si>
  <si>
    <t>55 925 0586</t>
  </si>
  <si>
    <t>شركة مزرعة محمد فهد محمد الحسيني للدواجن</t>
  </si>
  <si>
    <t>alhusseini.raitosystem.com</t>
  </si>
  <si>
    <t>ايو كريم</t>
  </si>
  <si>
    <t>54 875 9092</t>
  </si>
  <si>
    <t>مسلسل</t>
  </si>
  <si>
    <t>حاله التحصيل</t>
  </si>
  <si>
    <t>المسؤول عن المتابعه</t>
  </si>
  <si>
    <t>تاريخ بدء التحصيل</t>
  </si>
  <si>
    <t>تاريخ انتهاء التحصيل</t>
  </si>
  <si>
    <t>المبلغ المستحق</t>
  </si>
  <si>
    <t>المطالبه الماليه</t>
  </si>
  <si>
    <t xml:space="preserve">متابعه التحصيل </t>
  </si>
  <si>
    <t>هيتم ايقاف النظام</t>
  </si>
  <si>
    <t>عبدالرحمن</t>
  </si>
  <si>
    <t>لم يتم عمل المطالبة</t>
  </si>
  <si>
    <t>صفى</t>
  </si>
  <si>
    <t>جاري التحصيل</t>
  </si>
  <si>
    <t>م. طلعت</t>
  </si>
  <si>
    <t>شركة-فدك-الروح-للحلويات</t>
  </si>
  <si>
    <t>تم التحصيل</t>
  </si>
  <si>
    <t>تم ارسال المطالبة</t>
  </si>
  <si>
    <t>الاهرامات الاربعه الفرع 4</t>
  </si>
  <si>
    <t>موسسه النجمة للتجاره</t>
  </si>
  <si>
    <t>عبدالرحمن محمد حامد</t>
  </si>
  <si>
    <t>شركة صالح غرم االله أبوعدله الغامدي وأولاده البترولية</t>
  </si>
  <si>
    <t>مصطفي قاعود</t>
  </si>
  <si>
    <t>الاهرامات الاربعة الفرع التالت</t>
  </si>
  <si>
    <t xml:space="preserve">سفر الغامدي </t>
  </si>
  <si>
    <t>شركة بدر البدر لخدمات الوقود</t>
  </si>
  <si>
    <t>ارياش</t>
  </si>
  <si>
    <t>abc cargo</t>
  </si>
  <si>
    <t>ايكون</t>
  </si>
  <si>
    <t xml:space="preserve">  </t>
  </si>
  <si>
    <t>shatla.raitosystem.com</t>
  </si>
  <si>
    <t>بقالات</t>
  </si>
  <si>
    <t xml:space="preserve">محمد شرف </t>
  </si>
  <si>
    <t>5 websites</t>
  </si>
  <si>
    <t>موقع كورسات</t>
  </si>
  <si>
    <t>مقاولات</t>
  </si>
  <si>
    <t>30/03/2026</t>
  </si>
  <si>
    <t>ﻣﺆﺳﺴﺔ ﺳﻠﻤﺎﻥ ﺍﺣﻤﺪ ﻳﺤﻲ ﻟﻐﺒﻲ ﻟﻠﻤﻘﺎﻭﻻﺕ ﺍﻟﻌﺎﻣﺔ</t>
  </si>
  <si>
    <t>مؤسسة مروان عبد القيوم بن عبدالقادر بخاري للمقاولات عامة</t>
  </si>
  <si>
    <t>كير</t>
  </si>
  <si>
    <t>شركة ميثاق المرام</t>
  </si>
  <si>
    <t>دبل فور</t>
  </si>
  <si>
    <t>مؤسسة دلال عايض مقبول الحارثي للتجارة</t>
  </si>
  <si>
    <t>مؤسسة مجد الحديثة للخدمات اللوجيستية</t>
  </si>
  <si>
    <t>شركة دبل سفن فرع اللحوم</t>
  </si>
  <si>
    <t>لوكال</t>
  </si>
  <si>
    <t>شركة اهرامات الوادي</t>
  </si>
  <si>
    <t>مؤسسة ناها لملابس الاطفال</t>
  </si>
  <si>
    <t>شركة منبع الانتاج للدواجن</t>
  </si>
  <si>
    <t>https://sulaymanlighabi.raitosystem.com/</t>
  </si>
  <si>
    <t>17/03/2026</t>
  </si>
  <si>
    <t>17/03/2027</t>
  </si>
  <si>
    <t>+966 55 974 1575</t>
  </si>
  <si>
    <t>سلمان احمد (المالك)</t>
  </si>
  <si>
    <t>https://bukharicontracting.raitosystem.com/</t>
  </si>
  <si>
    <t>05/04/2026</t>
  </si>
  <si>
    <t>05/06/2026</t>
  </si>
  <si>
    <t>https://valleypyramids.raitosystem.com/</t>
  </si>
  <si>
    <t>06/10/2025</t>
  </si>
  <si>
    <t>06/10/2026</t>
  </si>
  <si>
    <t>ابو احمد تابع لسيرفس وان</t>
  </si>
  <si>
    <t>حاتم كيان الزراعية</t>
  </si>
  <si>
    <t>https://care.raitosystem.com/</t>
  </si>
  <si>
    <t>ايمن</t>
  </si>
  <si>
    <t>+966 54 910 7135</t>
  </si>
  <si>
    <t>محطات</t>
  </si>
  <si>
    <t>عبدالله مبارك حسين الدوسري</t>
  </si>
  <si>
    <t>mubarak-aldosari.raitosystem.com</t>
  </si>
  <si>
    <t>https://almaramcharter.raitosystem.com/</t>
  </si>
  <si>
    <t>محمد الموافى</t>
  </si>
  <si>
    <t>https://doublefour.raitosystem.com/</t>
  </si>
  <si>
    <t>محمد عبد العاطى تابعه لدبل سفن</t>
  </si>
  <si>
    <t>https://doublesevenmeat.raitosystem.com/</t>
  </si>
  <si>
    <t>https://dalaltrade.raitosystem.com/login</t>
  </si>
  <si>
    <t>https://modernglory.raitosystem.com/</t>
  </si>
  <si>
    <t>رواسى الجديدة ورواسى التانية اطلاع فقط</t>
  </si>
  <si>
    <t>https://manbaapoultry.raitosystem.com/login</t>
  </si>
  <si>
    <t>شعاع طلال الجديد</t>
  </si>
  <si>
    <t>https://shoaatalal.raitosystem.com/</t>
  </si>
  <si>
    <t>مصطفى</t>
  </si>
  <si>
    <t>+966 50 216 3938</t>
  </si>
  <si>
    <t xml:space="preserve">اسم المسئول </t>
  </si>
  <si>
    <t>تاريخ العقد</t>
  </si>
  <si>
    <t xml:space="preserve">تاريخ اخر استحقاق مالي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</si>
</sst>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9]m\/d\/yyyy"/>
    <numFmt numFmtId="165" formatCode="m/d/yyyy"/>
  </numFmts>
  <fonts count="18">
    <font>
      <b/>
      <sz val="11"/>
      <color theme="1"/>
      <name val="Georgia"/>
      <scheme val="minor"/>
    </font>
    <font>
      <sz val="11"/>
      <color theme="1"/>
      <name val="Georgia"/>
      <scheme val="minor"/>
    </font>
    <font>
      <sz val="11"/>
      <color rgb="FF071924"/>
      <name val="Calibri"/>
    </font>
    <font>
      <sz val="11"/>
      <color theme="1"/>
      <name val="Calibri"/>
    </font>
    <font>
      <u/>
      <sz val="11"/>
      <color rgb="FF333333"/>
      <name val="&quot;system-ui&quot;"/>
    </font>
    <font>
      <u/>
      <sz val="11"/>
      <color rgb="FF0000FF"/>
      <name val="Calibri"/>
    </font>
    <font>
      <u/>
      <sz val="11"/>
      <color rgb="FF071924"/>
      <name val="Calibri"/>
    </font>
    <font>
      <u/>
      <sz val="11"/>
      <color rgb="FF071924"/>
      <name val="Calibri"/>
    </font>
    <font>
      <b/>
      <sz val="11"/>
      <color rgb="FF000000"/>
      <name val="Arial"/>
    </font>
    <font>
      <b/>
      <sz val="11"/>
      <color rgb="FF000000"/>
      <name val="&quot;Aptos Narrow&quot;"/>
    </font>
    <font>
      <u/>
      <sz val="11"/>
      <color theme="1"/>
      <name val="Calibri"/>
    </font>
    <font>
      <u/>
      <sz val="11"/>
      <color rgb="FF434343"/>
      <name val="Calibri"/>
    </font>
    <font>
      <u/>
      <sz val="11"/>
      <color rgb="FF333333"/>
      <name val="&quot;system-ui&quot;"/>
    </font>
    <font>
      <u/>
      <sz val="11"/>
      <color rgb="FF0000FF"/>
      <name val="Calibri"/>
    </font>
    <font>
      <sz val="11"/>
      <color rgb="FF333333"/>
      <name val="Arial"/>
      <family val="2"/>
    </font>
    <font>
      <sz val="11"/>
      <color theme="1"/>
      <name val="Calibri"/>
      <family val="2"/>
    </font>
    <font>
      <sz val="11"/>
      <color rgb="FF071924"/>
      <name val="Calibri"/>
      <family val="2"/>
    </font>
    <font>
      <sz val="11"/>
      <color theme="1"/>
      <name val="Arial"/>
      <family val="2"/>
    </font>
  </fonts>
  <fills count="14">
    <fill>
      <patternFill patternType="none"/>
    </fill>
    <fill>
      <patternFill patternType="gray125"/>
    </fill>
    <fill>
      <patternFill patternType="solid">
        <fgColor rgb="FFFFFFFF"/>
        <bgColor rgb="FFFFFFFF"/>
      </patternFill>
    </fill>
    <fill>
      <patternFill patternType="solid">
        <fgColor rgb="FFF6F8F9"/>
        <bgColor rgb="FFF6F8F9"/>
      </patternFill>
    </fill>
    <fill>
      <patternFill patternType="solid">
        <fgColor rgb="FFFF9900"/>
        <bgColor rgb="FFFF9900"/>
      </patternFill>
    </fill>
    <fill>
      <patternFill patternType="solid">
        <fgColor rgb="FF980000"/>
        <bgColor rgb="FF980000"/>
      </patternFill>
    </fill>
    <fill>
      <patternFill patternType="solid">
        <fgColor rgb="FFFFFF00"/>
        <bgColor rgb="FFFFFF00"/>
      </patternFill>
    </fill>
    <fill>
      <patternFill patternType="solid">
        <fgColor rgb="FF00FFFF"/>
        <bgColor rgb="FF00FFFF"/>
      </patternFill>
    </fill>
    <fill>
      <patternFill patternType="solid">
        <fgColor theme="4" tint="0.499984740745262"/>
        <bgColor indexed="64"/>
      </patternFill>
    </fill>
    <fill>
      <patternFill patternType="solid">
        <fgColor theme="4" tint="0.499984740745262"/>
        <bgColor rgb="FF980000"/>
      </patternFill>
    </fill>
    <fill>
      <patternFill patternType="solid">
        <fgColor theme="4" tint="0.499984740745262"/>
        <bgColor rgb="FFFF0000"/>
      </patternFill>
    </fill>
    <fill>
      <patternFill patternType="solid">
        <fgColor theme="4" tint="0.499984740745262"/>
        <bgColor rgb="FF00FFFF"/>
      </patternFill>
    </fill>
    <fill>
      <patternFill patternType="solid">
        <fgColor theme="0"/>
        <bgColor indexed="64"/>
      </patternFill>
    </fill>
    <fill>
      <patternFill patternType="solid">
        <fgColor theme="4" tint="0.499984740745262"/>
        <bgColor rgb="FFFFFF00"/>
      </patternFill>
    </fill>
  </fills>
  <borders count="4">
    <border>
      <left/>
      <right/>
      <top/>
      <bottom/>
      <diagonal/>
    </border>
    <border>
      <left/>
      <right/>
      <top/>
      <bottom/>
      <diagonal/>
    </border>
    <border>
      <left style="thin">
        <color rgb="FFF3F3F3"/>
      </left>
      <right style="thin">
        <color rgb="FFF3F3F3"/>
      </right>
      <top style="thin">
        <color rgb="FFF3F3F3"/>
      </top>
      <bottom style="thin">
        <color rgb="FFF3F3F3"/>
      </bottom>
      <diagonal/>
    </border>
    <border>
      <left style="thin">
        <color rgb="FFF3F3F3"/>
      </left>
      <right style="thin">
        <color rgb="FFF3F3F3"/>
      </right>
      <top/>
      <bottom style="thin">
        <color rgb="FFF3F3F3"/>
      </bottom>
      <diagonal/>
    </border>
  </borders>
  <cellStyleXfs count="1">
    <xf numFmtId="0" fontId="0" fillId="0" borderId="0"/>
  </cellStyleXfs>
  <cellXfs count="47">
    <xf numFmtId="0" fontId="0" fillId="0" borderId="0" xfId="0" applyAlignment="1">
      <alignment horizontal="center" vertical="top" wrapText="1"/>
    </xf>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0" fontId="2" fillId="0" borderId="2" xfId="0" applyFont="1" applyBorder="1" applyAlignment="1">
      <alignment horizontal="center" vertical="center" wrapText="1"/>
    </xf>
    <xf numFmtId="164" fontId="3" fillId="0" borderId="2" xfId="0" applyNumberFormat="1" applyFont="1" applyBorder="1" applyAlignment="1">
      <alignment horizontal="center" vertical="center" wrapText="1"/>
    </xf>
    <xf numFmtId="164" fontId="2" fillId="0" borderId="2" xfId="0" applyNumberFormat="1" applyFont="1" applyBorder="1" applyAlignment="1">
      <alignment horizontal="center" vertical="center" wrapText="1"/>
    </xf>
    <xf numFmtId="165" fontId="2" fillId="0" borderId="2"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4" fillId="2" borderId="2" xfId="0" applyFont="1" applyFill="1" applyBorder="1" applyAlignment="1">
      <alignment horizontal="center" vertical="center"/>
    </xf>
    <xf numFmtId="165" fontId="3" fillId="0" borderId="2" xfId="0" applyNumberFormat="1" applyFont="1" applyBorder="1" applyAlignment="1">
      <alignment horizontal="center" vertical="center" wrapText="1"/>
    </xf>
    <xf numFmtId="0" fontId="5" fillId="0" borderId="2" xfId="0" applyFont="1" applyBorder="1" applyAlignment="1">
      <alignment horizontal="center" vertical="center" wrapText="1"/>
    </xf>
    <xf numFmtId="0" fontId="6" fillId="0" borderId="2" xfId="0" applyFont="1" applyBorder="1" applyAlignment="1">
      <alignment horizontal="center" vertical="center" wrapText="1"/>
    </xf>
    <xf numFmtId="0" fontId="1" fillId="0" borderId="2" xfId="0" applyFont="1" applyBorder="1" applyAlignment="1">
      <alignment horizontal="center" vertical="center"/>
    </xf>
    <xf numFmtId="0" fontId="7" fillId="0" borderId="2" xfId="0" applyFont="1" applyBorder="1" applyAlignment="1">
      <alignment horizontal="center" vertical="center" wrapText="1"/>
    </xf>
    <xf numFmtId="0" fontId="8" fillId="0" borderId="2" xfId="0" applyFont="1" applyBorder="1" applyAlignment="1">
      <alignment horizontal="center" vertical="center"/>
    </xf>
    <xf numFmtId="0" fontId="9" fillId="3" borderId="2" xfId="0" applyFont="1" applyFill="1" applyBorder="1" applyAlignment="1">
      <alignment horizontal="center" vertical="center"/>
    </xf>
    <xf numFmtId="0" fontId="2"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2" fillId="5" borderId="2" xfId="0" applyFont="1" applyFill="1" applyBorder="1" applyAlignment="1">
      <alignment horizontal="center" vertical="center" wrapText="1"/>
    </xf>
    <xf numFmtId="0" fontId="11" fillId="0" borderId="2" xfId="0" applyFont="1" applyBorder="1" applyAlignment="1">
      <alignment horizontal="center" vertical="center" wrapText="1"/>
    </xf>
    <xf numFmtId="0" fontId="2" fillId="6" borderId="2"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12" fillId="2" borderId="1" xfId="0" applyFont="1" applyFill="1" applyBorder="1" applyAlignment="1">
      <alignment horizontal="center" vertical="center"/>
    </xf>
    <xf numFmtId="0" fontId="13"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165" fontId="2" fillId="0" borderId="1" xfId="0" applyNumberFormat="1" applyFont="1" applyBorder="1" applyAlignment="1">
      <alignment horizontal="center" vertical="center" wrapText="1"/>
    </xf>
    <xf numFmtId="0" fontId="1" fillId="0" borderId="1" xfId="0" applyFont="1" applyBorder="1" applyAlignment="1">
      <alignment horizontal="right" vertical="top" wrapText="1"/>
    </xf>
    <xf numFmtId="0" fontId="1" fillId="0" borderId="1" xfId="0" applyFont="1" applyBorder="1" applyAlignment="1">
      <alignment horizontal="center" vertical="top" wrapText="1"/>
    </xf>
    <xf numFmtId="0" fontId="14" fillId="0" borderId="0" xfId="0" applyFont="1" applyAlignment="1">
      <alignment horizontal="center" vertical="top" wrapText="1"/>
    </xf>
    <xf numFmtId="0" fontId="15" fillId="0" borderId="2" xfId="0" applyFont="1" applyBorder="1" applyAlignment="1">
      <alignment horizontal="center" vertical="center" wrapText="1"/>
    </xf>
    <xf numFmtId="0" fontId="16" fillId="0" borderId="2" xfId="0" applyFont="1" applyBorder="1" applyAlignment="1">
      <alignment horizontal="center" vertical="center" wrapText="1"/>
    </xf>
    <xf numFmtId="1" fontId="3" fillId="0" borderId="2" xfId="0" applyNumberFormat="1" applyFont="1" applyBorder="1" applyAlignment="1">
      <alignment horizontal="center" vertical="center" wrapText="1"/>
    </xf>
    <xf numFmtId="164" fontId="15" fillId="0" borderId="2" xfId="0" applyNumberFormat="1" applyFont="1" applyBorder="1" applyAlignment="1">
      <alignment horizontal="center" vertical="center" wrapText="1"/>
    </xf>
    <xf numFmtId="0" fontId="2" fillId="8" borderId="2"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2" fillId="9" borderId="2" xfId="0" applyFont="1" applyFill="1" applyBorder="1" applyAlignment="1">
      <alignment horizontal="center" vertical="center" wrapText="1"/>
    </xf>
    <xf numFmtId="0" fontId="2" fillId="11" borderId="2" xfId="0" applyFont="1" applyFill="1" applyBorder="1" applyAlignment="1">
      <alignment horizontal="center" vertical="center" wrapText="1"/>
    </xf>
    <xf numFmtId="0" fontId="2" fillId="10" borderId="2" xfId="0" applyFont="1" applyFill="1" applyBorder="1" applyAlignment="1">
      <alignment horizontal="center" vertical="center" wrapText="1"/>
    </xf>
    <xf numFmtId="0" fontId="2" fillId="12" borderId="2" xfId="0" applyFont="1" applyFill="1" applyBorder="1" applyAlignment="1">
      <alignment horizontal="center" vertical="center" wrapText="1"/>
    </xf>
    <xf numFmtId="0" fontId="2" fillId="13" borderId="2" xfId="0" applyFont="1" applyFill="1" applyBorder="1" applyAlignment="1">
      <alignment horizontal="center" vertical="center" wrapText="1"/>
    </xf>
    <xf numFmtId="0" fontId="2" fillId="8" borderId="1" xfId="0" applyFont="1" applyFill="1" applyBorder="1" applyAlignment="1">
      <alignment horizontal="center" vertical="center" wrapText="1"/>
    </xf>
    <xf numFmtId="164" fontId="16" fillId="0" borderId="1" xfId="0" applyNumberFormat="1" applyFont="1" applyBorder="1" applyAlignment="1">
      <alignment horizontal="center" vertical="center" wrapText="1"/>
    </xf>
    <xf numFmtId="0" fontId="16" fillId="0" borderId="1" xfId="0" applyFont="1" applyBorder="1" applyAlignment="1">
      <alignment horizontal="center" vertical="center" wrapText="1"/>
    </xf>
    <xf numFmtId="0" fontId="17" fillId="0" borderId="0" xfId="0" applyFont="1" applyAlignment="1">
      <alignment horizontal="center" vertical="top" wrapText="1"/>
    </xf>
    <xf numFmtId="14" fontId="14" fillId="0" borderId="0" xfId="0" applyNumberFormat="1" applyFont="1" applyAlignment="1">
      <alignment horizontal="center" vertical="top" wrapText="1"/>
    </xf>
  </cellXfs>
  <cellStyles count="1">
    <cellStyle name="Normal" xfId="0" builtinId="0"/>
  </cellStyles>
  <dxfs count="8">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2">
    <tableStyle name="Raito Accounts - Main file-style" pivot="0" count="4">
      <tableStyleElement type="wholeTable" size="0" dxfId="7"/>
      <tableStyleElement type="headerRow" dxfId="6"/>
      <tableStyleElement type="firstRowStripe" dxfId="5"/>
      <tableStyleElement type="secondRowStripe" dxfId="4"/>
    </tableStyle>
    <tableStyle name="التحصيلات-style" pivot="0" count="4">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1</xdr:col>
      <xdr:colOff>57150</xdr:colOff>
      <xdr:row>1</xdr:row>
      <xdr:rowOff>0</xdr:rowOff>
    </xdr:from>
    <xdr:to>
      <xdr:col>4</xdr:col>
      <xdr:colOff>1268185</xdr:colOff>
      <xdr:row>1</xdr:row>
      <xdr:rowOff>0</xdr:rowOff>
    </xdr:to>
    <xdr:sp macro="" textlink="">
      <xdr:nvSpPr>
        <xdr:cNvPr id="1091" name="Text Box 67" hidden="1">
          <a:extLst>
            <a:ext uri="{FF2B5EF4-FFF2-40B4-BE49-F238E27FC236}">
              <a16:creationId xmlns:a16="http://schemas.microsoft.com/office/drawing/2014/main" xmlns="" id="{00000000-0008-0000-0000-000043040000}"/>
            </a:ext>
          </a:extLst>
        </xdr:cNvPr>
        <xdr:cNvSpPr txBox="1">
          <a:spLocks noChangeArrowheads="1"/>
        </xdr:cNvSpPr>
      </xdr:nvSpPr>
      <xdr:spPr bwMode="auto">
        <a:xfrm>
          <a:off x="1017270" y="285750"/>
          <a:ext cx="831723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57150</xdr:colOff>
      <xdr:row>1</xdr:row>
      <xdr:rowOff>0</xdr:rowOff>
    </xdr:from>
    <xdr:to>
      <xdr:col>4</xdr:col>
      <xdr:colOff>1268185</xdr:colOff>
      <xdr:row>1</xdr:row>
      <xdr:rowOff>0</xdr:rowOff>
    </xdr:to>
    <xdr:sp macro="" textlink="">
      <xdr:nvSpPr>
        <xdr:cNvPr id="1085" name="Text Box 61" hidden="1">
          <a:extLst>
            <a:ext uri="{FF2B5EF4-FFF2-40B4-BE49-F238E27FC236}">
              <a16:creationId xmlns:a16="http://schemas.microsoft.com/office/drawing/2014/main" xmlns="" id="{00000000-0008-0000-0000-00003D040000}"/>
            </a:ext>
          </a:extLst>
        </xdr:cNvPr>
        <xdr:cNvSpPr txBox="1">
          <a:spLocks noChangeArrowheads="1"/>
        </xdr:cNvSpPr>
      </xdr:nvSpPr>
      <xdr:spPr bwMode="auto">
        <a:xfrm>
          <a:off x="1017270" y="285750"/>
          <a:ext cx="831723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57150</xdr:colOff>
      <xdr:row>1</xdr:row>
      <xdr:rowOff>0</xdr:rowOff>
    </xdr:from>
    <xdr:to>
      <xdr:col>4</xdr:col>
      <xdr:colOff>1268185</xdr:colOff>
      <xdr:row>1</xdr:row>
      <xdr:rowOff>0</xdr:rowOff>
    </xdr:to>
    <xdr:sp macro="" textlink="">
      <xdr:nvSpPr>
        <xdr:cNvPr id="1083" name="Text Box 59" hidden="1">
          <a:extLst>
            <a:ext uri="{FF2B5EF4-FFF2-40B4-BE49-F238E27FC236}">
              <a16:creationId xmlns:a16="http://schemas.microsoft.com/office/drawing/2014/main" xmlns="" id="{00000000-0008-0000-0000-00003B040000}"/>
            </a:ext>
          </a:extLst>
        </xdr:cNvPr>
        <xdr:cNvSpPr txBox="1">
          <a:spLocks noChangeArrowheads="1"/>
        </xdr:cNvSpPr>
      </xdr:nvSpPr>
      <xdr:spPr bwMode="auto">
        <a:xfrm>
          <a:off x="1017270" y="285750"/>
          <a:ext cx="831723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57150</xdr:colOff>
      <xdr:row>2</xdr:row>
      <xdr:rowOff>148590</xdr:rowOff>
    </xdr:from>
    <xdr:to>
      <xdr:col>5</xdr:col>
      <xdr:colOff>1268186</xdr:colOff>
      <xdr:row>4</xdr:row>
      <xdr:rowOff>342822</xdr:rowOff>
    </xdr:to>
    <xdr:sp macro="" textlink="">
      <xdr:nvSpPr>
        <xdr:cNvPr id="1077" name="Text Box 53" hidden="1">
          <a:extLst>
            <a:ext uri="{FF2B5EF4-FFF2-40B4-BE49-F238E27FC236}">
              <a16:creationId xmlns:a16="http://schemas.microsoft.com/office/drawing/2014/main" xmlns="" id="{00000000-0008-0000-0000-000035040000}"/>
            </a:ext>
          </a:extLst>
        </xdr:cNvPr>
        <xdr:cNvSpPr txBox="1">
          <a:spLocks noChangeArrowheads="1"/>
        </xdr:cNvSpPr>
      </xdr:nvSpPr>
      <xdr:spPr bwMode="auto">
        <a:xfrm>
          <a:off x="3741420" y="720090"/>
          <a:ext cx="8732520" cy="76962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57150</xdr:colOff>
      <xdr:row>1</xdr:row>
      <xdr:rowOff>0</xdr:rowOff>
    </xdr:from>
    <xdr:to>
      <xdr:col>5</xdr:col>
      <xdr:colOff>1268186</xdr:colOff>
      <xdr:row>1</xdr:row>
      <xdr:rowOff>0</xdr:rowOff>
    </xdr:to>
    <xdr:sp macro="" textlink="">
      <xdr:nvSpPr>
        <xdr:cNvPr id="1071" name="Text Box 47" hidden="1">
          <a:extLst>
            <a:ext uri="{FF2B5EF4-FFF2-40B4-BE49-F238E27FC236}">
              <a16:creationId xmlns:a16="http://schemas.microsoft.com/office/drawing/2014/main" xmlns="" id="{00000000-0008-0000-0000-00002F040000}"/>
            </a:ext>
          </a:extLst>
        </xdr:cNvPr>
        <xdr:cNvSpPr txBox="1">
          <a:spLocks noChangeArrowheads="1"/>
        </xdr:cNvSpPr>
      </xdr:nvSpPr>
      <xdr:spPr bwMode="auto">
        <a:xfrm>
          <a:off x="3741420" y="285750"/>
          <a:ext cx="873252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57150</xdr:colOff>
      <xdr:row>1</xdr:row>
      <xdr:rowOff>0</xdr:rowOff>
    </xdr:from>
    <xdr:to>
      <xdr:col>5</xdr:col>
      <xdr:colOff>1268186</xdr:colOff>
      <xdr:row>1</xdr:row>
      <xdr:rowOff>0</xdr:rowOff>
    </xdr:to>
    <xdr:sp macro="" textlink="">
      <xdr:nvSpPr>
        <xdr:cNvPr id="1070" name="Text Box 46" hidden="1">
          <a:extLst>
            <a:ext uri="{FF2B5EF4-FFF2-40B4-BE49-F238E27FC236}">
              <a16:creationId xmlns:a16="http://schemas.microsoft.com/office/drawing/2014/main" xmlns="" id="{00000000-0008-0000-0000-00002E040000}"/>
            </a:ext>
          </a:extLst>
        </xdr:cNvPr>
        <xdr:cNvSpPr txBox="1">
          <a:spLocks noChangeArrowheads="1"/>
        </xdr:cNvSpPr>
      </xdr:nvSpPr>
      <xdr:spPr bwMode="auto">
        <a:xfrm>
          <a:off x="3741420" y="285750"/>
          <a:ext cx="873252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57150</xdr:colOff>
      <xdr:row>1</xdr:row>
      <xdr:rowOff>0</xdr:rowOff>
    </xdr:from>
    <xdr:to>
      <xdr:col>4</xdr:col>
      <xdr:colOff>1268185</xdr:colOff>
      <xdr:row>1</xdr:row>
      <xdr:rowOff>0</xdr:rowOff>
    </xdr:to>
    <xdr:sp macro="" textlink="">
      <xdr:nvSpPr>
        <xdr:cNvPr id="1069" name="Text Box 45" hidden="1">
          <a:extLst>
            <a:ext uri="{FF2B5EF4-FFF2-40B4-BE49-F238E27FC236}">
              <a16:creationId xmlns:a16="http://schemas.microsoft.com/office/drawing/2014/main" xmlns="" id="{00000000-0008-0000-0000-00002D040000}"/>
            </a:ext>
          </a:extLst>
        </xdr:cNvPr>
        <xdr:cNvSpPr txBox="1">
          <a:spLocks noChangeArrowheads="1"/>
        </xdr:cNvSpPr>
      </xdr:nvSpPr>
      <xdr:spPr bwMode="auto">
        <a:xfrm>
          <a:off x="1017270" y="285750"/>
          <a:ext cx="831723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57150</xdr:colOff>
      <xdr:row>1</xdr:row>
      <xdr:rowOff>0</xdr:rowOff>
    </xdr:from>
    <xdr:to>
      <xdr:col>4</xdr:col>
      <xdr:colOff>1268185</xdr:colOff>
      <xdr:row>1</xdr:row>
      <xdr:rowOff>0</xdr:rowOff>
    </xdr:to>
    <xdr:sp macro="" textlink="">
      <xdr:nvSpPr>
        <xdr:cNvPr id="1066" name="Text Box 42" hidden="1">
          <a:extLst>
            <a:ext uri="{FF2B5EF4-FFF2-40B4-BE49-F238E27FC236}">
              <a16:creationId xmlns:a16="http://schemas.microsoft.com/office/drawing/2014/main" xmlns="" id="{00000000-0008-0000-0000-00002A040000}"/>
            </a:ext>
          </a:extLst>
        </xdr:cNvPr>
        <xdr:cNvSpPr txBox="1">
          <a:spLocks noChangeArrowheads="1"/>
        </xdr:cNvSpPr>
      </xdr:nvSpPr>
      <xdr:spPr bwMode="auto">
        <a:xfrm>
          <a:off x="1017270" y="285750"/>
          <a:ext cx="831723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57150</xdr:colOff>
      <xdr:row>2</xdr:row>
      <xdr:rowOff>110490</xdr:rowOff>
    </xdr:from>
    <xdr:to>
      <xdr:col>5</xdr:col>
      <xdr:colOff>1268186</xdr:colOff>
      <xdr:row>2</xdr:row>
      <xdr:rowOff>110490</xdr:rowOff>
    </xdr:to>
    <xdr:sp macro="" textlink="">
      <xdr:nvSpPr>
        <xdr:cNvPr id="1061" name="Text Box 37" hidden="1">
          <a:extLst>
            <a:ext uri="{FF2B5EF4-FFF2-40B4-BE49-F238E27FC236}">
              <a16:creationId xmlns:a16="http://schemas.microsoft.com/office/drawing/2014/main" xmlns="" id="{00000000-0008-0000-0000-000025040000}"/>
            </a:ext>
          </a:extLst>
        </xdr:cNvPr>
        <xdr:cNvSpPr txBox="1">
          <a:spLocks noChangeArrowheads="1"/>
        </xdr:cNvSpPr>
      </xdr:nvSpPr>
      <xdr:spPr bwMode="auto">
        <a:xfrm>
          <a:off x="3741420" y="681990"/>
          <a:ext cx="873252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57150</xdr:colOff>
      <xdr:row>1</xdr:row>
      <xdr:rowOff>198120</xdr:rowOff>
    </xdr:from>
    <xdr:to>
      <xdr:col>5</xdr:col>
      <xdr:colOff>1268186</xdr:colOff>
      <xdr:row>2</xdr:row>
      <xdr:rowOff>110490</xdr:rowOff>
    </xdr:to>
    <xdr:sp macro="" textlink="">
      <xdr:nvSpPr>
        <xdr:cNvPr id="1060" name="Text Box 36" hidden="1">
          <a:extLst>
            <a:ext uri="{FF2B5EF4-FFF2-40B4-BE49-F238E27FC236}">
              <a16:creationId xmlns:a16="http://schemas.microsoft.com/office/drawing/2014/main" xmlns="" id="{00000000-0008-0000-0000-000024040000}"/>
            </a:ext>
          </a:extLst>
        </xdr:cNvPr>
        <xdr:cNvSpPr txBox="1">
          <a:spLocks noChangeArrowheads="1"/>
        </xdr:cNvSpPr>
      </xdr:nvSpPr>
      <xdr:spPr bwMode="auto">
        <a:xfrm>
          <a:off x="3741420" y="483870"/>
          <a:ext cx="8732520" cy="19812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57150</xdr:colOff>
      <xdr:row>1</xdr:row>
      <xdr:rowOff>0</xdr:rowOff>
    </xdr:from>
    <xdr:to>
      <xdr:col>4</xdr:col>
      <xdr:colOff>1268185</xdr:colOff>
      <xdr:row>1</xdr:row>
      <xdr:rowOff>0</xdr:rowOff>
    </xdr:to>
    <xdr:sp macro="" textlink="">
      <xdr:nvSpPr>
        <xdr:cNvPr id="1059" name="Text Box 35" hidden="1">
          <a:extLst>
            <a:ext uri="{FF2B5EF4-FFF2-40B4-BE49-F238E27FC236}">
              <a16:creationId xmlns:a16="http://schemas.microsoft.com/office/drawing/2014/main" xmlns="" id="{00000000-0008-0000-0000-000023040000}"/>
            </a:ext>
          </a:extLst>
        </xdr:cNvPr>
        <xdr:cNvSpPr txBox="1">
          <a:spLocks noChangeArrowheads="1"/>
        </xdr:cNvSpPr>
      </xdr:nvSpPr>
      <xdr:spPr bwMode="auto">
        <a:xfrm>
          <a:off x="1017270" y="285750"/>
          <a:ext cx="831723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57150</xdr:colOff>
      <xdr:row>1</xdr:row>
      <xdr:rowOff>0</xdr:rowOff>
    </xdr:from>
    <xdr:to>
      <xdr:col>4</xdr:col>
      <xdr:colOff>1268185</xdr:colOff>
      <xdr:row>1</xdr:row>
      <xdr:rowOff>0</xdr:rowOff>
    </xdr:to>
    <xdr:sp macro="" textlink="">
      <xdr:nvSpPr>
        <xdr:cNvPr id="1054" name="Text Box 30" hidden="1">
          <a:extLst>
            <a:ext uri="{FF2B5EF4-FFF2-40B4-BE49-F238E27FC236}">
              <a16:creationId xmlns:a16="http://schemas.microsoft.com/office/drawing/2014/main" xmlns="" id="{00000000-0008-0000-0000-00001E040000}"/>
            </a:ext>
          </a:extLst>
        </xdr:cNvPr>
        <xdr:cNvSpPr txBox="1">
          <a:spLocks noChangeArrowheads="1"/>
        </xdr:cNvSpPr>
      </xdr:nvSpPr>
      <xdr:spPr bwMode="auto">
        <a:xfrm>
          <a:off x="1017270" y="285750"/>
          <a:ext cx="831723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57150</xdr:colOff>
      <xdr:row>2</xdr:row>
      <xdr:rowOff>110490</xdr:rowOff>
    </xdr:from>
    <xdr:to>
      <xdr:col>5</xdr:col>
      <xdr:colOff>1268186</xdr:colOff>
      <xdr:row>2</xdr:row>
      <xdr:rowOff>110490</xdr:rowOff>
    </xdr:to>
    <xdr:sp macro="" textlink="">
      <xdr:nvSpPr>
        <xdr:cNvPr id="1053" name="Text Box 29" hidden="1">
          <a:extLst>
            <a:ext uri="{FF2B5EF4-FFF2-40B4-BE49-F238E27FC236}">
              <a16:creationId xmlns:a16="http://schemas.microsoft.com/office/drawing/2014/main" xmlns="" id="{00000000-0008-0000-0000-00001D040000}"/>
            </a:ext>
          </a:extLst>
        </xdr:cNvPr>
        <xdr:cNvSpPr txBox="1">
          <a:spLocks noChangeArrowheads="1"/>
        </xdr:cNvSpPr>
      </xdr:nvSpPr>
      <xdr:spPr bwMode="auto">
        <a:xfrm>
          <a:off x="3741420" y="681990"/>
          <a:ext cx="873252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57150</xdr:colOff>
      <xdr:row>1</xdr:row>
      <xdr:rowOff>0</xdr:rowOff>
    </xdr:from>
    <xdr:to>
      <xdr:col>5</xdr:col>
      <xdr:colOff>1268186</xdr:colOff>
      <xdr:row>1</xdr:row>
      <xdr:rowOff>198120</xdr:rowOff>
    </xdr:to>
    <xdr:sp macro="" textlink="">
      <xdr:nvSpPr>
        <xdr:cNvPr id="1050" name="Text Box 26" hidden="1">
          <a:extLst>
            <a:ext uri="{FF2B5EF4-FFF2-40B4-BE49-F238E27FC236}">
              <a16:creationId xmlns:a16="http://schemas.microsoft.com/office/drawing/2014/main" xmlns="" id="{00000000-0008-0000-0000-00001A040000}"/>
            </a:ext>
          </a:extLst>
        </xdr:cNvPr>
        <xdr:cNvSpPr txBox="1">
          <a:spLocks noChangeArrowheads="1"/>
        </xdr:cNvSpPr>
      </xdr:nvSpPr>
      <xdr:spPr bwMode="auto">
        <a:xfrm>
          <a:off x="3741420" y="285750"/>
          <a:ext cx="8732520" cy="19812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57150</xdr:colOff>
      <xdr:row>7</xdr:row>
      <xdr:rowOff>213438</xdr:rowOff>
    </xdr:from>
    <xdr:to>
      <xdr:col>5</xdr:col>
      <xdr:colOff>1268186</xdr:colOff>
      <xdr:row>9</xdr:row>
      <xdr:rowOff>5870</xdr:rowOff>
    </xdr:to>
    <xdr:sp macro="" textlink="">
      <xdr:nvSpPr>
        <xdr:cNvPr id="1047" name="Text Box 23" hidden="1">
          <a:extLst>
            <a:ext uri="{FF2B5EF4-FFF2-40B4-BE49-F238E27FC236}">
              <a16:creationId xmlns:a16="http://schemas.microsoft.com/office/drawing/2014/main" xmlns="" id="{00000000-0008-0000-0000-000017040000}"/>
            </a:ext>
          </a:extLst>
        </xdr:cNvPr>
        <xdr:cNvSpPr txBox="1">
          <a:spLocks noChangeArrowheads="1"/>
        </xdr:cNvSpPr>
      </xdr:nvSpPr>
      <xdr:spPr bwMode="auto">
        <a:xfrm>
          <a:off x="3741420" y="2305050"/>
          <a:ext cx="8732520" cy="35814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57150</xdr:colOff>
      <xdr:row>1</xdr:row>
      <xdr:rowOff>0</xdr:rowOff>
    </xdr:from>
    <xdr:to>
      <xdr:col>4</xdr:col>
      <xdr:colOff>1268185</xdr:colOff>
      <xdr:row>1</xdr:row>
      <xdr:rowOff>0</xdr:rowOff>
    </xdr:to>
    <xdr:sp macro="" textlink="">
      <xdr:nvSpPr>
        <xdr:cNvPr id="1046" name="Text Box 22" hidden="1">
          <a:extLst>
            <a:ext uri="{FF2B5EF4-FFF2-40B4-BE49-F238E27FC236}">
              <a16:creationId xmlns:a16="http://schemas.microsoft.com/office/drawing/2014/main" xmlns="" id="{00000000-0008-0000-0000-000016040000}"/>
            </a:ext>
          </a:extLst>
        </xdr:cNvPr>
        <xdr:cNvSpPr txBox="1">
          <a:spLocks noChangeArrowheads="1"/>
        </xdr:cNvSpPr>
      </xdr:nvSpPr>
      <xdr:spPr bwMode="auto">
        <a:xfrm>
          <a:off x="1017270" y="285750"/>
          <a:ext cx="831723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57150</xdr:colOff>
      <xdr:row>1</xdr:row>
      <xdr:rowOff>0</xdr:rowOff>
    </xdr:from>
    <xdr:to>
      <xdr:col>5</xdr:col>
      <xdr:colOff>1268186</xdr:colOff>
      <xdr:row>1</xdr:row>
      <xdr:rowOff>0</xdr:rowOff>
    </xdr:to>
    <xdr:sp macro="" textlink="">
      <xdr:nvSpPr>
        <xdr:cNvPr id="1044" name="Text Box 20" hidden="1">
          <a:extLst>
            <a:ext uri="{FF2B5EF4-FFF2-40B4-BE49-F238E27FC236}">
              <a16:creationId xmlns:a16="http://schemas.microsoft.com/office/drawing/2014/main" xmlns="" id="{00000000-0008-0000-0000-000014040000}"/>
            </a:ext>
          </a:extLst>
        </xdr:cNvPr>
        <xdr:cNvSpPr txBox="1">
          <a:spLocks noChangeArrowheads="1"/>
        </xdr:cNvSpPr>
      </xdr:nvSpPr>
      <xdr:spPr bwMode="auto">
        <a:xfrm>
          <a:off x="3741420" y="285750"/>
          <a:ext cx="873252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57150</xdr:colOff>
      <xdr:row>1</xdr:row>
      <xdr:rowOff>0</xdr:rowOff>
    </xdr:from>
    <xdr:to>
      <xdr:col>5</xdr:col>
      <xdr:colOff>1268186</xdr:colOff>
      <xdr:row>1</xdr:row>
      <xdr:rowOff>0</xdr:rowOff>
    </xdr:to>
    <xdr:sp macro="" textlink="">
      <xdr:nvSpPr>
        <xdr:cNvPr id="1041" name="Text Box 17" hidden="1">
          <a:extLst>
            <a:ext uri="{FF2B5EF4-FFF2-40B4-BE49-F238E27FC236}">
              <a16:creationId xmlns:a16="http://schemas.microsoft.com/office/drawing/2014/main" xmlns="" id="{00000000-0008-0000-0000-000011040000}"/>
            </a:ext>
          </a:extLst>
        </xdr:cNvPr>
        <xdr:cNvSpPr txBox="1">
          <a:spLocks noChangeArrowheads="1"/>
        </xdr:cNvSpPr>
      </xdr:nvSpPr>
      <xdr:spPr bwMode="auto">
        <a:xfrm>
          <a:off x="3741420" y="285750"/>
          <a:ext cx="873252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57150</xdr:colOff>
      <xdr:row>8</xdr:row>
      <xdr:rowOff>131601</xdr:rowOff>
    </xdr:from>
    <xdr:to>
      <xdr:col>5</xdr:col>
      <xdr:colOff>1268186</xdr:colOff>
      <xdr:row>9</xdr:row>
      <xdr:rowOff>5870</xdr:rowOff>
    </xdr:to>
    <xdr:sp macro="" textlink="">
      <xdr:nvSpPr>
        <xdr:cNvPr id="1040" name="Text Box 16" hidden="1">
          <a:extLst>
            <a:ext uri="{FF2B5EF4-FFF2-40B4-BE49-F238E27FC236}">
              <a16:creationId xmlns:a16="http://schemas.microsoft.com/office/drawing/2014/main" xmlns="" id="{00000000-0008-0000-0000-000010040000}"/>
            </a:ext>
          </a:extLst>
        </xdr:cNvPr>
        <xdr:cNvSpPr txBox="1">
          <a:spLocks noChangeArrowheads="1"/>
        </xdr:cNvSpPr>
      </xdr:nvSpPr>
      <xdr:spPr bwMode="auto">
        <a:xfrm>
          <a:off x="3741420" y="2503170"/>
          <a:ext cx="8732520" cy="16002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57150</xdr:colOff>
      <xdr:row>9</xdr:row>
      <xdr:rowOff>5870</xdr:rowOff>
    </xdr:from>
    <xdr:to>
      <xdr:col>5</xdr:col>
      <xdr:colOff>1268186</xdr:colOff>
      <xdr:row>9</xdr:row>
      <xdr:rowOff>5870</xdr:rowOff>
    </xdr:to>
    <xdr:sp macro="" textlink="">
      <xdr:nvSpPr>
        <xdr:cNvPr id="1039" name="Text Box 15" hidden="1">
          <a:extLst>
            <a:ext uri="{FF2B5EF4-FFF2-40B4-BE49-F238E27FC236}">
              <a16:creationId xmlns:a16="http://schemas.microsoft.com/office/drawing/2014/main" xmlns="" id="{00000000-0008-0000-0000-00000F040000}"/>
            </a:ext>
          </a:extLst>
        </xdr:cNvPr>
        <xdr:cNvSpPr txBox="1">
          <a:spLocks noChangeArrowheads="1"/>
        </xdr:cNvSpPr>
      </xdr:nvSpPr>
      <xdr:spPr bwMode="auto">
        <a:xfrm>
          <a:off x="3741420" y="2663190"/>
          <a:ext cx="873252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57150</xdr:colOff>
      <xdr:row>1</xdr:row>
      <xdr:rowOff>0</xdr:rowOff>
    </xdr:from>
    <xdr:to>
      <xdr:col>4</xdr:col>
      <xdr:colOff>1268185</xdr:colOff>
      <xdr:row>1</xdr:row>
      <xdr:rowOff>0</xdr:rowOff>
    </xdr:to>
    <xdr:sp macro="" textlink="">
      <xdr:nvSpPr>
        <xdr:cNvPr id="1035" name="Text Box 11" hidden="1">
          <a:extLst>
            <a:ext uri="{FF2B5EF4-FFF2-40B4-BE49-F238E27FC236}">
              <a16:creationId xmlns:a16="http://schemas.microsoft.com/office/drawing/2014/main" xmlns="" id="{00000000-0008-0000-0000-00000B040000}"/>
            </a:ext>
          </a:extLst>
        </xdr:cNvPr>
        <xdr:cNvSpPr txBox="1">
          <a:spLocks noChangeArrowheads="1"/>
        </xdr:cNvSpPr>
      </xdr:nvSpPr>
      <xdr:spPr bwMode="auto">
        <a:xfrm>
          <a:off x="1017270" y="285750"/>
          <a:ext cx="831723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57150</xdr:colOff>
      <xdr:row>1</xdr:row>
      <xdr:rowOff>0</xdr:rowOff>
    </xdr:from>
    <xdr:to>
      <xdr:col>5</xdr:col>
      <xdr:colOff>1268186</xdr:colOff>
      <xdr:row>2</xdr:row>
      <xdr:rowOff>110490</xdr:rowOff>
    </xdr:to>
    <xdr:sp macro="" textlink="">
      <xdr:nvSpPr>
        <xdr:cNvPr id="1034" name="Text Box 10" hidden="1">
          <a:extLst>
            <a:ext uri="{FF2B5EF4-FFF2-40B4-BE49-F238E27FC236}">
              <a16:creationId xmlns:a16="http://schemas.microsoft.com/office/drawing/2014/main" xmlns="" id="{00000000-0008-0000-0000-00000A040000}"/>
            </a:ext>
          </a:extLst>
        </xdr:cNvPr>
        <xdr:cNvSpPr txBox="1">
          <a:spLocks noChangeArrowheads="1"/>
        </xdr:cNvSpPr>
      </xdr:nvSpPr>
      <xdr:spPr bwMode="auto">
        <a:xfrm>
          <a:off x="3741420" y="285750"/>
          <a:ext cx="8732520" cy="39624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57150</xdr:colOff>
      <xdr:row>1</xdr:row>
      <xdr:rowOff>0</xdr:rowOff>
    </xdr:from>
    <xdr:to>
      <xdr:col>5</xdr:col>
      <xdr:colOff>1268186</xdr:colOff>
      <xdr:row>2</xdr:row>
      <xdr:rowOff>110490</xdr:rowOff>
    </xdr:to>
    <xdr:sp macro="" textlink="">
      <xdr:nvSpPr>
        <xdr:cNvPr id="1027" name="Text Box 3" hidden="1">
          <a:extLst>
            <a:ext uri="{FF2B5EF4-FFF2-40B4-BE49-F238E27FC236}">
              <a16:creationId xmlns:a16="http://schemas.microsoft.com/office/drawing/2014/main" xmlns="" id="{00000000-0008-0000-0000-000003040000}"/>
            </a:ext>
          </a:extLst>
        </xdr:cNvPr>
        <xdr:cNvSpPr txBox="1">
          <a:spLocks noChangeArrowheads="1"/>
        </xdr:cNvSpPr>
      </xdr:nvSpPr>
      <xdr:spPr bwMode="auto">
        <a:xfrm>
          <a:off x="3741420" y="285750"/>
          <a:ext cx="8732520" cy="39624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57150</xdr:colOff>
      <xdr:row>1</xdr:row>
      <xdr:rowOff>0</xdr:rowOff>
    </xdr:from>
    <xdr:to>
      <xdr:col>4</xdr:col>
      <xdr:colOff>1268185</xdr:colOff>
      <xdr:row>1</xdr:row>
      <xdr:rowOff>0</xdr:rowOff>
    </xdr:to>
    <xdr:sp macro="" textlink="">
      <xdr:nvSpPr>
        <xdr:cNvPr id="1026" name="Text Box 2" hidden="1">
          <a:extLst>
            <a:ext uri="{FF2B5EF4-FFF2-40B4-BE49-F238E27FC236}">
              <a16:creationId xmlns:a16="http://schemas.microsoft.com/office/drawing/2014/main" xmlns="" id="{00000000-0008-0000-0000-000002040000}"/>
            </a:ext>
          </a:extLst>
        </xdr:cNvPr>
        <xdr:cNvSpPr txBox="1">
          <a:spLocks noChangeArrowheads="1"/>
        </xdr:cNvSpPr>
      </xdr:nvSpPr>
      <xdr:spPr bwMode="auto">
        <a:xfrm>
          <a:off x="1017270" y="285750"/>
          <a:ext cx="831723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57150</xdr:colOff>
      <xdr:row>2</xdr:row>
      <xdr:rowOff>38100</xdr:rowOff>
    </xdr:from>
    <xdr:to>
      <xdr:col>13</xdr:col>
      <xdr:colOff>57150</xdr:colOff>
      <xdr:row>15</xdr:row>
      <xdr:rowOff>15240</xdr:rowOff>
    </xdr:to>
    <xdr:sp macro="" textlink="">
      <xdr:nvSpPr>
        <xdr:cNvPr id="2101" name="Text Box 53" hidden="1">
          <a:extLst>
            <a:ext uri="{FF2B5EF4-FFF2-40B4-BE49-F238E27FC236}">
              <a16:creationId xmlns:a16="http://schemas.microsoft.com/office/drawing/2014/main" xmlns="" id="{00000000-0008-0000-0100-000035080000}"/>
            </a:ext>
          </a:extLst>
        </xdr:cNvPr>
        <xdr:cNvSpPr txBox="1">
          <a:spLocks noChangeArrowheads="1"/>
        </xdr:cNvSpPr>
      </xdr:nvSpPr>
      <xdr:spPr bwMode="auto">
        <a:xfrm>
          <a:off x="14142720" y="285750"/>
          <a:ext cx="2407920" cy="134112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57150</xdr:colOff>
      <xdr:row>22</xdr:row>
      <xdr:rowOff>38100</xdr:rowOff>
    </xdr:from>
    <xdr:to>
      <xdr:col>13</xdr:col>
      <xdr:colOff>57150</xdr:colOff>
      <xdr:row>36</xdr:row>
      <xdr:rowOff>15240</xdr:rowOff>
    </xdr:to>
    <xdr:sp macro="" textlink="">
      <xdr:nvSpPr>
        <xdr:cNvPr id="2094" name="Text Box 46" hidden="1">
          <a:extLst>
            <a:ext uri="{FF2B5EF4-FFF2-40B4-BE49-F238E27FC236}">
              <a16:creationId xmlns:a16="http://schemas.microsoft.com/office/drawing/2014/main" xmlns="" id="{00000000-0008-0000-0100-00002E080000}"/>
            </a:ext>
          </a:extLst>
        </xdr:cNvPr>
        <xdr:cNvSpPr txBox="1">
          <a:spLocks noChangeArrowheads="1"/>
        </xdr:cNvSpPr>
      </xdr:nvSpPr>
      <xdr:spPr bwMode="auto">
        <a:xfrm>
          <a:off x="14142720" y="2221230"/>
          <a:ext cx="2407920" cy="12039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57150</xdr:colOff>
      <xdr:row>14</xdr:row>
      <xdr:rowOff>38100</xdr:rowOff>
    </xdr:from>
    <xdr:to>
      <xdr:col>13</xdr:col>
      <xdr:colOff>57150</xdr:colOff>
      <xdr:row>20</xdr:row>
      <xdr:rowOff>15240</xdr:rowOff>
    </xdr:to>
    <xdr:sp macro="" textlink="">
      <xdr:nvSpPr>
        <xdr:cNvPr id="2088" name="Text Box 40" hidden="1">
          <a:extLst>
            <a:ext uri="{FF2B5EF4-FFF2-40B4-BE49-F238E27FC236}">
              <a16:creationId xmlns:a16="http://schemas.microsoft.com/office/drawing/2014/main" xmlns="" id="{00000000-0008-0000-0100-000028080000}"/>
            </a:ext>
          </a:extLst>
        </xdr:cNvPr>
        <xdr:cNvSpPr txBox="1">
          <a:spLocks noChangeArrowheads="1"/>
        </xdr:cNvSpPr>
      </xdr:nvSpPr>
      <xdr:spPr bwMode="auto">
        <a:xfrm>
          <a:off x="14142720" y="1626870"/>
          <a:ext cx="2407920" cy="39624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57150</xdr:colOff>
      <xdr:row>5</xdr:row>
      <xdr:rowOff>38100</xdr:rowOff>
    </xdr:from>
    <xdr:to>
      <xdr:col>13</xdr:col>
      <xdr:colOff>57150</xdr:colOff>
      <xdr:row>20</xdr:row>
      <xdr:rowOff>15240</xdr:rowOff>
    </xdr:to>
    <xdr:sp macro="" textlink="">
      <xdr:nvSpPr>
        <xdr:cNvPr id="2085" name="Text Box 37" hidden="1">
          <a:extLst>
            <a:ext uri="{FF2B5EF4-FFF2-40B4-BE49-F238E27FC236}">
              <a16:creationId xmlns:a16="http://schemas.microsoft.com/office/drawing/2014/main" xmlns="" id="{00000000-0008-0000-0100-000025080000}"/>
            </a:ext>
          </a:extLst>
        </xdr:cNvPr>
        <xdr:cNvSpPr txBox="1">
          <a:spLocks noChangeArrowheads="1"/>
        </xdr:cNvSpPr>
      </xdr:nvSpPr>
      <xdr:spPr bwMode="auto">
        <a:xfrm>
          <a:off x="14142720" y="571500"/>
          <a:ext cx="2407920" cy="145161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57150</xdr:colOff>
      <xdr:row>16</xdr:row>
      <xdr:rowOff>38100</xdr:rowOff>
    </xdr:from>
    <xdr:to>
      <xdr:col>13</xdr:col>
      <xdr:colOff>57150</xdr:colOff>
      <xdr:row>28</xdr:row>
      <xdr:rowOff>15240</xdr:rowOff>
    </xdr:to>
    <xdr:sp macro="" textlink="">
      <xdr:nvSpPr>
        <xdr:cNvPr id="2084" name="Text Box 36" hidden="1">
          <a:extLst>
            <a:ext uri="{FF2B5EF4-FFF2-40B4-BE49-F238E27FC236}">
              <a16:creationId xmlns:a16="http://schemas.microsoft.com/office/drawing/2014/main" xmlns="" id="{00000000-0008-0000-0100-000024080000}"/>
            </a:ext>
          </a:extLst>
        </xdr:cNvPr>
        <xdr:cNvSpPr txBox="1">
          <a:spLocks noChangeArrowheads="1"/>
        </xdr:cNvSpPr>
      </xdr:nvSpPr>
      <xdr:spPr bwMode="auto">
        <a:xfrm>
          <a:off x="14142720" y="1664970"/>
          <a:ext cx="2407920" cy="76962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57150</xdr:colOff>
      <xdr:row>2</xdr:row>
      <xdr:rowOff>38100</xdr:rowOff>
    </xdr:from>
    <xdr:to>
      <xdr:col>13</xdr:col>
      <xdr:colOff>57150</xdr:colOff>
      <xdr:row>8</xdr:row>
      <xdr:rowOff>15240</xdr:rowOff>
    </xdr:to>
    <xdr:sp macro="" textlink="">
      <xdr:nvSpPr>
        <xdr:cNvPr id="2078" name="Text Box 30" hidden="1">
          <a:extLst>
            <a:ext uri="{FF2B5EF4-FFF2-40B4-BE49-F238E27FC236}">
              <a16:creationId xmlns:a16="http://schemas.microsoft.com/office/drawing/2014/main" xmlns="" id="{00000000-0008-0000-0100-00001E080000}"/>
            </a:ext>
          </a:extLst>
        </xdr:cNvPr>
        <xdr:cNvSpPr txBox="1">
          <a:spLocks noChangeArrowheads="1"/>
        </xdr:cNvSpPr>
      </xdr:nvSpPr>
      <xdr:spPr bwMode="auto">
        <a:xfrm>
          <a:off x="14142720" y="285750"/>
          <a:ext cx="2407920" cy="2857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57150</xdr:colOff>
      <xdr:row>13</xdr:row>
      <xdr:rowOff>38100</xdr:rowOff>
    </xdr:from>
    <xdr:to>
      <xdr:col>13</xdr:col>
      <xdr:colOff>57150</xdr:colOff>
      <xdr:row>22</xdr:row>
      <xdr:rowOff>15240</xdr:rowOff>
    </xdr:to>
    <xdr:sp macro="" textlink="">
      <xdr:nvSpPr>
        <xdr:cNvPr id="2074" name="Text Box 26" hidden="1">
          <a:extLst>
            <a:ext uri="{FF2B5EF4-FFF2-40B4-BE49-F238E27FC236}">
              <a16:creationId xmlns:a16="http://schemas.microsoft.com/office/drawing/2014/main" xmlns="" id="{00000000-0008-0000-0100-00001A080000}"/>
            </a:ext>
          </a:extLst>
        </xdr:cNvPr>
        <xdr:cNvSpPr txBox="1">
          <a:spLocks noChangeArrowheads="1"/>
        </xdr:cNvSpPr>
      </xdr:nvSpPr>
      <xdr:spPr bwMode="auto">
        <a:xfrm>
          <a:off x="14142720" y="1379220"/>
          <a:ext cx="2407920" cy="84201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57150</xdr:colOff>
      <xdr:row>10</xdr:row>
      <xdr:rowOff>38100</xdr:rowOff>
    </xdr:from>
    <xdr:to>
      <xdr:col>13</xdr:col>
      <xdr:colOff>57150</xdr:colOff>
      <xdr:row>22</xdr:row>
      <xdr:rowOff>15240</xdr:rowOff>
    </xdr:to>
    <xdr:sp macro="" textlink="">
      <xdr:nvSpPr>
        <xdr:cNvPr id="2068" name="Text Box 20" hidden="1">
          <a:extLst>
            <a:ext uri="{FF2B5EF4-FFF2-40B4-BE49-F238E27FC236}">
              <a16:creationId xmlns:a16="http://schemas.microsoft.com/office/drawing/2014/main" xmlns="" id="{00000000-0008-0000-0100-000014080000}"/>
            </a:ext>
          </a:extLst>
        </xdr:cNvPr>
        <xdr:cNvSpPr txBox="1">
          <a:spLocks noChangeArrowheads="1"/>
        </xdr:cNvSpPr>
      </xdr:nvSpPr>
      <xdr:spPr bwMode="auto">
        <a:xfrm>
          <a:off x="14142720" y="895350"/>
          <a:ext cx="2407920" cy="132588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57150</xdr:colOff>
      <xdr:row>9</xdr:row>
      <xdr:rowOff>38100</xdr:rowOff>
    </xdr:from>
    <xdr:to>
      <xdr:col>13</xdr:col>
      <xdr:colOff>57150</xdr:colOff>
      <xdr:row>17</xdr:row>
      <xdr:rowOff>15240</xdr:rowOff>
    </xdr:to>
    <xdr:sp macro="" textlink="">
      <xdr:nvSpPr>
        <xdr:cNvPr id="2066" name="Text Box 18" hidden="1">
          <a:extLst>
            <a:ext uri="{FF2B5EF4-FFF2-40B4-BE49-F238E27FC236}">
              <a16:creationId xmlns:a16="http://schemas.microsoft.com/office/drawing/2014/main" xmlns="" id="{00000000-0008-0000-0100-000012080000}"/>
            </a:ext>
          </a:extLst>
        </xdr:cNvPr>
        <xdr:cNvSpPr txBox="1">
          <a:spLocks noChangeArrowheads="1"/>
        </xdr:cNvSpPr>
      </xdr:nvSpPr>
      <xdr:spPr bwMode="auto">
        <a:xfrm>
          <a:off x="14142720" y="609600"/>
          <a:ext cx="2407920" cy="121539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57150</xdr:colOff>
      <xdr:row>3</xdr:row>
      <xdr:rowOff>38100</xdr:rowOff>
    </xdr:from>
    <xdr:to>
      <xdr:col>13</xdr:col>
      <xdr:colOff>57150</xdr:colOff>
      <xdr:row>12</xdr:row>
      <xdr:rowOff>15240</xdr:rowOff>
    </xdr:to>
    <xdr:sp macro="" textlink="">
      <xdr:nvSpPr>
        <xdr:cNvPr id="2064" name="Text Box 16" hidden="1">
          <a:extLst>
            <a:ext uri="{FF2B5EF4-FFF2-40B4-BE49-F238E27FC236}">
              <a16:creationId xmlns:a16="http://schemas.microsoft.com/office/drawing/2014/main" xmlns="" id="{00000000-0008-0000-0100-000010080000}"/>
            </a:ext>
          </a:extLst>
        </xdr:cNvPr>
        <xdr:cNvSpPr txBox="1">
          <a:spLocks noChangeArrowheads="1"/>
        </xdr:cNvSpPr>
      </xdr:nvSpPr>
      <xdr:spPr bwMode="auto">
        <a:xfrm>
          <a:off x="14142720" y="285750"/>
          <a:ext cx="2407920" cy="105537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57150</xdr:colOff>
      <xdr:row>7</xdr:row>
      <xdr:rowOff>38100</xdr:rowOff>
    </xdr:from>
    <xdr:to>
      <xdr:col>13</xdr:col>
      <xdr:colOff>57150</xdr:colOff>
      <xdr:row>18</xdr:row>
      <xdr:rowOff>15240</xdr:rowOff>
    </xdr:to>
    <xdr:sp macro="" textlink="">
      <xdr:nvSpPr>
        <xdr:cNvPr id="2061" name="Text Box 13" hidden="1">
          <a:extLst>
            <a:ext uri="{FF2B5EF4-FFF2-40B4-BE49-F238E27FC236}">
              <a16:creationId xmlns:a16="http://schemas.microsoft.com/office/drawing/2014/main" xmlns="" id="{00000000-0008-0000-0100-00000D080000}"/>
            </a:ext>
          </a:extLst>
        </xdr:cNvPr>
        <xdr:cNvSpPr txBox="1">
          <a:spLocks noChangeArrowheads="1"/>
        </xdr:cNvSpPr>
      </xdr:nvSpPr>
      <xdr:spPr bwMode="auto">
        <a:xfrm>
          <a:off x="14142720" y="571500"/>
          <a:ext cx="2407920" cy="126873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57150</xdr:colOff>
      <xdr:row>14</xdr:row>
      <xdr:rowOff>38100</xdr:rowOff>
    </xdr:from>
    <xdr:to>
      <xdr:col>13</xdr:col>
      <xdr:colOff>57150</xdr:colOff>
      <xdr:row>26</xdr:row>
      <xdr:rowOff>15240</xdr:rowOff>
    </xdr:to>
    <xdr:sp macro="" textlink="">
      <xdr:nvSpPr>
        <xdr:cNvPr id="2060" name="Text Box 12" hidden="1">
          <a:extLst>
            <a:ext uri="{FF2B5EF4-FFF2-40B4-BE49-F238E27FC236}">
              <a16:creationId xmlns:a16="http://schemas.microsoft.com/office/drawing/2014/main" xmlns="" id="{00000000-0008-0000-0100-00000C080000}"/>
            </a:ext>
          </a:extLst>
        </xdr:cNvPr>
        <xdr:cNvSpPr txBox="1">
          <a:spLocks noChangeArrowheads="1"/>
        </xdr:cNvSpPr>
      </xdr:nvSpPr>
      <xdr:spPr bwMode="auto">
        <a:xfrm>
          <a:off x="14142720" y="1626870"/>
          <a:ext cx="2407920" cy="5943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57150</xdr:colOff>
      <xdr:row>40</xdr:row>
      <xdr:rowOff>38100</xdr:rowOff>
    </xdr:from>
    <xdr:to>
      <xdr:col>13</xdr:col>
      <xdr:colOff>57150</xdr:colOff>
      <xdr:row>46</xdr:row>
      <xdr:rowOff>15240</xdr:rowOff>
    </xdr:to>
    <xdr:sp macro="" textlink="">
      <xdr:nvSpPr>
        <xdr:cNvPr id="2058" name="Text Box 10" hidden="1">
          <a:extLst>
            <a:ext uri="{FF2B5EF4-FFF2-40B4-BE49-F238E27FC236}">
              <a16:creationId xmlns:a16="http://schemas.microsoft.com/office/drawing/2014/main" xmlns="" id="{00000000-0008-0000-0100-00000A080000}"/>
            </a:ext>
          </a:extLst>
        </xdr:cNvPr>
        <xdr:cNvSpPr txBox="1">
          <a:spLocks noChangeArrowheads="1"/>
        </xdr:cNvSpPr>
      </xdr:nvSpPr>
      <xdr:spPr bwMode="auto">
        <a:xfrm>
          <a:off x="14142720" y="3806190"/>
          <a:ext cx="2407920" cy="80772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57150</xdr:colOff>
      <xdr:row>8</xdr:row>
      <xdr:rowOff>38100</xdr:rowOff>
    </xdr:from>
    <xdr:to>
      <xdr:col>13</xdr:col>
      <xdr:colOff>57150</xdr:colOff>
      <xdr:row>14</xdr:row>
      <xdr:rowOff>15240</xdr:rowOff>
    </xdr:to>
    <xdr:sp macro="" textlink="">
      <xdr:nvSpPr>
        <xdr:cNvPr id="2057" name="Text Box 9" hidden="1">
          <a:extLst>
            <a:ext uri="{FF2B5EF4-FFF2-40B4-BE49-F238E27FC236}">
              <a16:creationId xmlns:a16="http://schemas.microsoft.com/office/drawing/2014/main" xmlns="" id="{00000000-0008-0000-0100-000009080000}"/>
            </a:ext>
          </a:extLst>
        </xdr:cNvPr>
        <xdr:cNvSpPr txBox="1">
          <a:spLocks noChangeArrowheads="1"/>
        </xdr:cNvSpPr>
      </xdr:nvSpPr>
      <xdr:spPr bwMode="auto">
        <a:xfrm>
          <a:off x="14142720" y="571500"/>
          <a:ext cx="2407920" cy="105537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57150</xdr:colOff>
      <xdr:row>14</xdr:row>
      <xdr:rowOff>38100</xdr:rowOff>
    </xdr:from>
    <xdr:to>
      <xdr:col>13</xdr:col>
      <xdr:colOff>57150</xdr:colOff>
      <xdr:row>23</xdr:row>
      <xdr:rowOff>15240</xdr:rowOff>
    </xdr:to>
    <xdr:sp macro="" textlink="">
      <xdr:nvSpPr>
        <xdr:cNvPr id="2053" name="Text Box 5" hidden="1">
          <a:extLst>
            <a:ext uri="{FF2B5EF4-FFF2-40B4-BE49-F238E27FC236}">
              <a16:creationId xmlns:a16="http://schemas.microsoft.com/office/drawing/2014/main" xmlns="" id="{00000000-0008-0000-0100-000005080000}"/>
            </a:ext>
          </a:extLst>
        </xdr:cNvPr>
        <xdr:cNvSpPr txBox="1">
          <a:spLocks noChangeArrowheads="1"/>
        </xdr:cNvSpPr>
      </xdr:nvSpPr>
      <xdr:spPr bwMode="auto">
        <a:xfrm>
          <a:off x="14142720" y="1626870"/>
          <a:ext cx="2407920" cy="59436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57150</xdr:colOff>
      <xdr:row>6</xdr:row>
      <xdr:rowOff>38100</xdr:rowOff>
    </xdr:from>
    <xdr:to>
      <xdr:col>13</xdr:col>
      <xdr:colOff>57150</xdr:colOff>
      <xdr:row>18</xdr:row>
      <xdr:rowOff>15240</xdr:rowOff>
    </xdr:to>
    <xdr:sp macro="" textlink="">
      <xdr:nvSpPr>
        <xdr:cNvPr id="2052" name="Text Box 4" hidden="1">
          <a:extLst>
            <a:ext uri="{FF2B5EF4-FFF2-40B4-BE49-F238E27FC236}">
              <a16:creationId xmlns:a16="http://schemas.microsoft.com/office/drawing/2014/main" xmlns="" id="{00000000-0008-0000-0100-000004080000}"/>
            </a:ext>
          </a:extLst>
        </xdr:cNvPr>
        <xdr:cNvSpPr txBox="1">
          <a:spLocks noChangeArrowheads="1"/>
        </xdr:cNvSpPr>
      </xdr:nvSpPr>
      <xdr:spPr bwMode="auto">
        <a:xfrm>
          <a:off x="14142720" y="571500"/>
          <a:ext cx="2407920" cy="126873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9</xdr:col>
      <xdr:colOff>57150</xdr:colOff>
      <xdr:row>4</xdr:row>
      <xdr:rowOff>38100</xdr:rowOff>
    </xdr:from>
    <xdr:to>
      <xdr:col>13</xdr:col>
      <xdr:colOff>57150</xdr:colOff>
      <xdr:row>14</xdr:row>
      <xdr:rowOff>15240</xdr:rowOff>
    </xdr:to>
    <xdr:sp macro="" textlink="">
      <xdr:nvSpPr>
        <xdr:cNvPr id="2049" name="Text Box 1" hidden="1">
          <a:extLst>
            <a:ext uri="{FF2B5EF4-FFF2-40B4-BE49-F238E27FC236}">
              <a16:creationId xmlns:a16="http://schemas.microsoft.com/office/drawing/2014/main" xmlns="" id="{00000000-0008-0000-0100-000001080000}"/>
            </a:ext>
          </a:extLst>
        </xdr:cNvPr>
        <xdr:cNvSpPr txBox="1">
          <a:spLocks noChangeArrowheads="1"/>
        </xdr:cNvSpPr>
      </xdr:nvSpPr>
      <xdr:spPr bwMode="auto">
        <a:xfrm>
          <a:off x="14142720" y="323850"/>
          <a:ext cx="2407920" cy="130302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Mahmood ezzat" id="{060CF5D2-D619-42D3-BF0B-E9D9F8B7B266}" userId="" providerId="google-sheets"/>
  <person displayName="Raito Account managment" id="{6BE63AB5-6B0B-4E30-B487-11C1CCF0DCCA}" userId="" providerId="google-sheets"/>
  <person displayName="Mohamed Hamdy" id="{4FC5AAE6-3F44-406C-ACC3-F97EBC0E3385}" userId="Mohamed Hamdy" providerId="None"/>
</personList>
</file>

<file path=xl/tables/table1.xml><?xml version="1.0" encoding="utf-8"?>
<table xmlns="http://schemas.openxmlformats.org/spreadsheetml/2006/main" id="1" name="Table1" displayName="Table1" ref="A1:AE92">
  <autoFilter ref="A1:AE92"/>
  <tableColumns count="31">
    <tableColumn id="1" name="التسلسل"/>
    <tableColumn id="2" name="اسم الشركة"/>
    <tableColumn id="4" name="القطاع"/>
    <tableColumn id="5" name="الرابط الأساسي"/>
    <tableColumn id="6" name="اسم المسئول "/>
    <tableColumn id="7" name="رقم الهاتف "/>
    <tableColumn id="10" name="تاريخ العقد"/>
    <tableColumn id="12" name="تاريخ اخر استحقاق مالي "/>
    <tableColumn id="13" name="تجديد الباقة الشهرية"/>
    <tableColumn id="14" name="حاله العميل "/>
    <tableColumn id="16" name="المدينة "/>
    <tableColumn id="17" name="عدد الموظفين "/>
    <tableColumn id="18" name="حسابات "/>
    <tableColumn id="19" name="حسابات نشط"/>
    <tableColumn id="20" name="حسابات غير نشط"/>
    <tableColumn id="21" name="مخزون"/>
    <tableColumn id="22" name="مخزون نشط"/>
    <tableColumn id="23" name="مخزون غير نشط"/>
    <tableColumn id="24" name="اجمالي المناديب"/>
    <tableColumn id="25" name="عدد المناديب النشطة"/>
    <tableColumn id="26" name="عدد المناديب الغير نشطة"/>
    <tableColumn id="27" name="محطات وقود"/>
    <tableColumn id="28" name="صيانة"/>
    <tableColumn id="29" name="اصول "/>
    <tableColumn id="30" name="نقليات"/>
    <tableColumn id="31" name="موارد بشريه"/>
    <tableColumn id="32" name="اداره الانتاج و التصنيع "/>
    <tableColumn id="33" name="عقارات"/>
    <tableColumn id="34" name="تطبيق العملاء"/>
    <tableColumn id="35" name="ويب سايت"/>
    <tableColumn id="36" name="ميلات"/>
  </tableColumns>
  <tableStyleInfo name="Raito Accounts - Main file-style" showFirstColumn="1" showLastColumn="1" showRowStripes="1" showColumnStripes="0"/>
</table>
</file>

<file path=xl/tables/table2.xml><?xml version="1.0" encoding="utf-8"?>
<table xmlns="http://schemas.openxmlformats.org/spreadsheetml/2006/main" id="2" name="Table1_3" displayName="Table1_3" ref="A1:I44">
  <autoFilter ref="A1:I44">
    <filterColumn colId="2">
      <filters>
        <filter val="تم التحصيل"/>
      </filters>
    </filterColumn>
    <filterColumn colId="3">
      <filters>
        <filter val="عبدالرحمن"/>
      </filters>
    </filterColumn>
  </autoFilter>
  <tableColumns count="9">
    <tableColumn id="1" name="مسلسل"/>
    <tableColumn id="2" name="اسم الشركة"/>
    <tableColumn id="3" name="حاله التحصيل"/>
    <tableColumn id="4" name="المسؤول عن المتابعه"/>
    <tableColumn id="5" name="تاريخ بدء التحصيل"/>
    <tableColumn id="6" name="تاريخ انتهاء التحصيل"/>
    <tableColumn id="7" name="المبلغ المستحق"/>
    <tableColumn id="8" name="المطالبه الماليه"/>
    <tableColumn id="9" name="متابعه التحصيل "/>
  </tableColumns>
  <tableStyleInfo name="التحصيلات-style" showFirstColumn="1" showLastColumn="1" showRowStripes="1" showColumnStripes="0"/>
</table>
</file>

<file path=xl/theme/theme1.xml><?xml version="1.0" encoding="utf-8"?>
<a:theme xmlns:a="http://schemas.openxmlformats.org/drawingml/2006/main" name="Sheets">
  <a:themeElements>
    <a:clrScheme name="Sheets">
      <a:dk1>
        <a:srgbClr val="071924"/>
      </a:dk1>
      <a:lt1>
        <a:srgbClr val="FFFFFF"/>
      </a:lt1>
      <a:dk2>
        <a:srgbClr val="071924"/>
      </a:dk2>
      <a:lt2>
        <a:srgbClr val="FFFFFF"/>
      </a:lt2>
      <a:accent1>
        <a:srgbClr val="002F4A"/>
      </a:accent1>
      <a:accent2>
        <a:srgbClr val="B85741"/>
      </a:accent2>
      <a:accent3>
        <a:srgbClr val="AD8463"/>
      </a:accent3>
      <a:accent4>
        <a:srgbClr val="009384"/>
      </a:accent4>
      <a:accent5>
        <a:srgbClr val="EDDAC9"/>
      </a:accent5>
      <a:accent6>
        <a:srgbClr val="6FC8D6"/>
      </a:accent6>
      <a:hlink>
        <a:srgbClr val="009384"/>
      </a:hlink>
      <a:folHlink>
        <a:srgbClr val="009384"/>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5-03T09:35:22.00" personId="{060CF5D2-D619-42D3-BF0B-E9D9F8B7B266}" id="{0E113CDC-E3B8-4D57-8388-12EDAC225E0E}">
    <text>العميل بلغ ان ليه طلبات تم
بالفعل عمل جزء منها و الاخر لسه متعملش منها جزء الشامل و الغير شامل الضريبه في 
المبيعات و المشتريات 
و تم الرجوع للدعم الفني و بلغوا ان في طلب هياخد وقت لانه في اولويات 
ولكن باقي التاسكات سهله و العميل هيبلغ الدعم</text>
  </threadedComment>
  <threadedComment ref="A1" dT="2026-05-03T09:38:50.00" personId="{060CF5D2-D619-42D3-BF0B-E9D9F8B7B266}" id="{ACFC639E-9E36-4CD7-8A6D-1BFB6D4551AE}" parentId="{0E113CDC-E3B8-4D57-8388-12EDAC225E0E}">
    <text>الدعم الفني : محمد حمدي بلغ ان مفيش حد اشتغل عليه</text>
  </threadedComment>
  <threadedComment ref="Q1" dT="2026-05-18T08:27:49.00" personId="{6BE63AB5-6B0B-4E30-B487-11C1CCF0DCCA}" id="{02189AD7-F8F9-4A74-976A-1C8B38D72BF3}">
    <text>بيتم فقط جمع اليوزرات النشطه فقط</text>
  </threadedComment>
  <threadedComment ref="B2" dT="2026-05-12T09:28:18.00" personId="{6BE63AB5-6B0B-4E30-B487-11C1CCF0DCCA}" id="{7138E11B-274B-4153-BD1D-E5315663436F}">
    <text>يتم التحقق من حاله عمل الشركه</text>
  </threadedComment>
  <threadedComment ref="B6" dT="2026-05-03T10:14:08.00" personId="{060CF5D2-D619-42D3-BF0B-E9D9F8B7B266}" id="{48C67A65-8982-49CF-B2A3-CE34E69DD46B}" done="1">
    <text>صيانه العميل السنوي شامل الضريبه : 8625</text>
  </threadedComment>
  <threadedComment ref="Q6" dT="2026-08-09T10:52:00.81" personId="{4FC5AAE6-3F44-406C-ACC3-F97EBC0E3385}" id="{BF0A6A7A-441F-4D13-9438-6697C034BC2E}">
    <text xml:space="preserve">فيه يوزرات كتير للدوام ويوزرات مش شغاله كان تست و باسم م طلعت حاجات قديمة كان بيتم التجربة عليها فا عدد اليوزرات من الممكن الفعلى يكون اقل بكتير
</text>
  </threadedComment>
  <threadedComment ref="AA6" dT="2026-05-12T11:30:22.00" personId="{6BE63AB5-6B0B-4E30-B487-11C1CCF0DCCA}" id="{01989FF2-C342-47D5-A1CC-E25F26CA50B0}">
    <text>العميل عنده محطتين و عنده 14 يوزر علي نظام اداره المحطات</text>
  </threadedComment>
  <threadedComment ref="B7" dT="2026-04-30T11:49:03.00" personId="{060CF5D2-D619-42D3-BF0B-E9D9F8B7B266}" id="{E40EE278-152C-40B7-8C4A-30D319244EC7}">
    <text>تم الابلاغ بايقاف النظام علي الشركه</text>
  </threadedComment>
  <threadedComment ref="B8" dT="2026-05-12T11:41:47.00" personId="{6BE63AB5-6B0B-4E30-B487-11C1CCF0DCCA}" id="{97015D57-9601-4F7E-AD2E-FA4D71ADA2B8}">
    <text>هيتم اعتماد بيانات العميل من الدعم الفني</text>
  </threadedComment>
  <threadedComment ref="B8" dT="2026-06-03T08:37:09.00" personId="{6BE63AB5-6B0B-4E30-B487-11C1CCF0DCCA}" id="{F606A12A-87D4-46FF-8CB4-B4CF541DF4CC}" parentId="{97015D57-9601-4F7E-AD2E-FA4D71ADA2B8}">
    <text>هيتم التاكد من بيانات الشركه 
عليه سنتين 1500 * 2</text>
  </threadedComment>
  <threadedComment ref="B8" dT="2026-08-09T12:37:58.80" personId="{4FC5AAE6-3F44-406C-ACC3-F97EBC0E3385}" id="{6064CCFB-ED2D-4F33-929E-355121A33B57}" parentId="{97015D57-9601-4F7E-AD2E-FA4D71ADA2B8}">
    <text>شغال حسابات فقط وتم التحصيل منه من قريب 3000 ريال لان سيرفر a2hosting كان قفل عليه</text>
  </threadedComment>
  <threadedComment ref="B9" dT="2026-05-03T10:19:59.00" personId="{060CF5D2-D619-42D3-BF0B-E9D9F8B7B266}" id="{059B61C8-939C-4E60-94A1-706DBE4F4384}" done="1">
    <text>الصيانه السنوية : 1380  شامل الضريبة</text>
  </threadedComment>
  <threadedComment ref="B10" dT="2026-05-12T13:21:40.00" personId="{6BE63AB5-6B0B-4E30-B487-11C1CCF0DCCA}" id="{F0BE913A-1F07-4AA9-B2FF-7C8BF2E0DDAE}">
    <text>العميل بلغ ان هو استبدل النظام بنظام اخر</text>
  </threadedComment>
  <threadedComment ref="B11" dT="2026-05-03T10:30:19.00" personId="{060CF5D2-D619-42D3-BF0B-E9D9F8B7B266}" id="{E956D8D5-20A4-4A1F-93D1-2B3433F5F6A2}" done="1">
    <text>الصيانه السنوية : 3450 شامل الضريبة</text>
  </threadedComment>
  <threadedComment ref="B12" dT="2026-05-13T10:14:31.00" personId="{6BE63AB5-6B0B-4E30-B487-11C1CCF0DCCA}" id="{58224BE8-444C-4A49-9693-4F84DE0376B3}">
    <text>عايزين يتم مراجعه الصيانه السنويه للعميل</text>
  </threadedComment>
  <threadedComment ref="B14" dT="2026-05-03T10:40:12.00" personId="{060CF5D2-D619-42D3-BF0B-E9D9F8B7B266}" id="{408CECFB-A3D2-45F8-A3D0-EBC9C1D9593B}" done="1">
    <text>- مبلغ الصيانه شامل الضريبة 
- اخر تحصيل 30-12-2024</text>
  </threadedComment>
  <threadedComment ref="B14" dT="2026-05-04T09:40:07.00" personId="{6BE63AB5-6B0B-4E30-B487-11C1CCF0DCCA}" id="{BFD97267-6BB6-4DDB-B040-9CBF3F09A8E5}" parentId="{408CECFB-A3D2-45F8-A3D0-EBC9C1D9593B}">
    <text>تاريخ اخر مطالبه : 4-9-2026</text>
  </threadedComment>
  <threadedComment ref="B16" dT="2026-05-03T10:40:12.00" personId="{060CF5D2-D619-42D3-BF0B-E9D9F8B7B266}" id="{9DEC4CAD-628A-4677-A1B2-EA360EDF1225}" done="1">
    <text>لم يتم التحصيل</text>
  </threadedComment>
  <threadedComment ref="B18" dT="2026-05-03T10:43:37.00" personId="{060CF5D2-D619-42D3-BF0B-E9D9F8B7B266}" id="{3ED2B5F1-BDA0-4865-8D6A-E0665FF0EF8B}">
    <text>مصطفي قاعود بلغ ان ملهمش صيانة</text>
  </threadedComment>
  <threadedComment ref="B19" dT="2026-04-30T11:50:43.00" personId="{060CF5D2-D619-42D3-BF0B-E9D9F8B7B266}" id="{D1DA0C9C-EFA0-4322-8B2D-BB1ABD2B81E8}">
    <text>محتاجين نعرف حاله العميل شغال ام لا</text>
  </threadedComment>
  <threadedComment ref="B20" dT="2026-08-09T10:29:07.30" personId="{4FC5AAE6-3F44-406C-ACC3-F97EBC0E3385}" id="{EF15C2AE-ED19-4B01-89EC-6CC9C6483C4B}">
    <text>تم نقل  الشركة  الى رابط اخر اسمه modernglory 
مع الاحتفاظ بالرابط الحالى للاطلاع يمكن المحاسبة عليه كيوزر اطلاع</text>
  </threadedComment>
  <threadedComment ref="B22" dT="2026-05-17T11:25:26.00" personId="{6BE63AB5-6B0B-4E30-B487-11C1CCF0DCCA}" id="{4947189E-AE4B-429A-80AB-8E5496DEBA9D}">
    <text>تم التواصل مع محمد عبدالعاطي في دبل سفن و بلغني انه هيراجع اليوزرات اللي شغاله و هيبلغني</text>
  </threadedComment>
  <threadedComment ref="B25" dT="2026-05-03T07:23:13.00" personId="{060CF5D2-D619-42D3-BF0B-E9D9F8B7B266}" id="{2E28E571-5748-4CB9-9782-57FBEE2A27BB}" done="1">
    <text>العميل كان مبلغ ان عنده مشكله في الشركه و الشركه واقفه فتره و لما ترجع تشتغل هيبلغنا</text>
  </threadedComment>
  <threadedComment ref="B26" dT="2026-05-20T10:33:47.00" personId="{6BE63AB5-6B0B-4E30-B487-11C1CCF0DCCA}" id="{0631F9FA-6B1E-4304-B49D-BF2075709CA3}">
    <text>النظام الخاص بالعميل متوقف</text>
  </threadedComment>
  <threadedComment ref="B27" dT="2026-05-18T09:27:51.00" personId="{6BE63AB5-6B0B-4E30-B487-11C1CCF0DCCA}" id="{E6659712-39BD-4BE2-986A-0D1C31DA0508}">
    <text>لا اعرف اي بيانات عن محطات ايكون</text>
  </threadedComment>
  <threadedComment ref="B28" dT="2026-05-04T10:32:34.00" personId="{6BE63AB5-6B0B-4E30-B487-11C1CCF0DCCA}" id="{427E931A-D058-42FC-A137-255043B24A61}">
    <text>مع بشمهندس طلعت</text>
  </threadedComment>
  <threadedComment ref="B29" dT="2026-06-03T11:05:55.00" personId="{6BE63AB5-6B0B-4E30-B487-11C1CCF0DCCA}" id="{0B626E67-648F-48D9-88FD-C64B4C112B12}">
    <text>محتاجين نكلم طه نعرف منه التفاصيل عشان عليه سنتين</text>
  </threadedComment>
  <threadedComment ref="B31" dT="2026-06-03T11:07:10.00" personId="{6BE63AB5-6B0B-4E30-B487-11C1CCF0DCCA}" id="{1F12597B-A5EC-4963-B49E-59198DB16EF2}">
    <text>ملاحظه تذكره لبشمهندس طلعت لمتابعه تحصيل الاتش ار</text>
  </threadedComment>
  <threadedComment ref="B32" dT="2026-04-30T11:40:44.00" personId="{060CF5D2-D619-42D3-BF0B-E9D9F8B7B266}" id="{FF0BC8BB-C562-4665-A12A-6F596B4435FE}">
    <text>قاعود هيبعتها</text>
  </threadedComment>
  <threadedComment ref="B32" dT="2026-05-03T11:55:02.00" personId="{060CF5D2-D619-42D3-BF0B-E9D9F8B7B266}" id="{AA1A465C-E60C-4062-A4B2-AB89A6B2771C}" parentId="{FF0BC8BB-C562-4665-A12A-6F596B4435FE}">
    <text>مصطفي قاعود بلغ : هيتم ايقافها ليس لها اي بيانات و هيتم مراجعتها مع بشمهندس طلعت</text>
  </threadedComment>
  <threadedComment ref="B33" dT="2026-04-30T11:53:07.00" personId="{060CF5D2-D619-42D3-BF0B-E9D9F8B7B266}" id="{53F0C4B0-BF8A-4A35-A697-4C5BBE12CB95}">
    <text>هيتم مراجعه بشمهندس طلعت في العميل</text>
  </threadedComment>
  <threadedComment ref="B33" dT="2026-05-04T03:04:50.00" personId="{060CF5D2-D619-42D3-BF0B-E9D9F8B7B266}" id="{C2DC12C3-9D8D-4A54-A605-06245C8905BC}" parentId="{53F0C4B0-BF8A-4A35-A697-4C5BBE12CB95}">
    <text>بشمندس طلعت بلغ انها تبعه</text>
  </threadedComment>
  <threadedComment ref="B35" dT="2026-04-30T11:53:50.00" personId="{060CF5D2-D619-42D3-BF0B-E9D9F8B7B266}" id="{FA173EE4-0A74-4CAD-81DF-3D37F888D0D2}">
    <text>تم ابلاغي من مصطفي قاعود ان العميل مش بيدفع صيانه و هو تبع شركات الاهرامات الاربعه</text>
  </threadedComment>
  <threadedComment ref="B36" dT="2026-05-18T10:38:41.00" personId="{6BE63AB5-6B0B-4E30-B487-11C1CCF0DCCA}" id="{B8C9C38E-EE7D-41D5-B2C6-9217AAEC0E17}">
    <text>لا يوجد معلومات عندي لها</text>
  </threadedComment>
  <threadedComment ref="B36" dT="2026-05-18T10:50:31.00" personId="{6BE63AB5-6B0B-4E30-B487-11C1CCF0DCCA}" id="{DF56CCE9-2A62-46A9-BED9-2F1850E44457}" parentId="{B8C9C38E-EE7D-41D5-B2C6-9217AAEC0E17}">
    <text>ازاي مخطات الوقود بيتم حصر اليوزرات الخاصه به</text>
  </threadedComment>
  <threadedComment ref="B36" dT="2026-08-09T15:50:07.34" personId="{4FC5AAE6-3F44-406C-ACC3-F97EBC0E3385}" id="{A0BB1DDE-37C0-4273-8E4D-AE9FE98C5895}" parentId="{B8C9C38E-EE7D-41D5-B2C6-9217AAEC0E17}">
    <text xml:space="preserve">النظام لسه تحت التشغيل 
</text>
  </threadedComment>
  <threadedComment ref="B40" dT="2026-05-03T11:51:33.00" personId="{060CF5D2-D619-42D3-BF0B-E9D9F8B7B266}" id="{2B2A3487-6057-4959-9843-385F4C5B1E05}" done="1">
    <text>عليه اضافه مندوب</text>
  </threadedComment>
  <threadedComment ref="B41" dT="2026-04-30T02:45:30.00" personId="{060CF5D2-D619-42D3-BF0B-E9D9F8B7B266}" id="{77D6EC83-0174-40B6-A25E-9A14DBEF0815}">
    <text>لا يوجد له بيانات</text>
  </threadedComment>
  <threadedComment ref="B41" dT="2026-04-30T11:40:01.00" personId="{060CF5D2-D619-42D3-BF0B-E9D9F8B7B266}" id="{989D304C-CE2C-4ECD-B417-052048A61417}" parentId="{77D6EC83-0174-40B6-A25E-9A14DBEF0815}">
    <text>مع قاعود</text>
  </threadedComment>
  <threadedComment ref="B41" dT="2026-05-03T07:23:26.00" personId="{060CF5D2-D619-42D3-BF0B-E9D9F8B7B266}" id="{C51E41AA-6687-4435-9266-3E15318A6313}" parentId="{77D6EC83-0174-40B6-A25E-9A14DBEF0815}">
    <text>العميل مش بيشتغل الباقه واقفه</text>
  </threadedComment>
  <threadedComment ref="N41" dT="2026-05-06T06:46:51.00" personId="{6BE63AB5-6B0B-4E30-B487-11C1CCF0DCCA}" id="{6E4C04C9-92EE-4275-9606-FD5749CD820C}">
    <text>محمد حمدي بلغ انه مش شغال</text>
  </threadedComment>
  <threadedComment ref="B46" dT="2026-05-03T12:26:20.00" personId="{060CF5D2-D619-42D3-BF0B-E9D9F8B7B266}" id="{6D76CDA4-80C9-42DD-A147-EA9BE3DAA84B}">
    <text>بيانات العميل مع بشمهندس طلعت</text>
  </threadedComment>
  <threadedComment ref="B47" dT="2026-04-30T11:38:09.00" personId="{060CF5D2-D619-42D3-BF0B-E9D9F8B7B266}" id="{770E582E-F50A-4D4A-93D2-6D8C6125AAD1}" done="1">
    <text>في شركه اخري تبع حاتم واخده اشتراك 200 ريال</text>
  </threadedComment>
  <threadedComment ref="B47" dT="2026-05-03T08:38:57.00" personId="{060CF5D2-D619-42D3-BF0B-E9D9F8B7B266}" id="{D3DC4EA9-0A8E-4BC7-8ECB-2BFCF900D970}" parentId="{770E582E-F50A-4D4A-93D2-6D8C6125AAD1}">
    <text>الاشتراك من غير ضريبة ( 450 كيان الزراعية )</text>
  </threadedComment>
  <threadedComment ref="B47" dT="2026-05-04T12:34:19.00" personId="{6BE63AB5-6B0B-4E30-B487-11C1CCF0DCCA}" id="{E5382129-63B4-4126-B5AD-8F2222AA1CB6}" parentId="{770E582E-F50A-4D4A-93D2-6D8C6125AAD1}">
    <text>العميل عليه 3 شهور و تم ارسال مطالبه ليه</text>
  </threadedComment>
  <threadedComment ref="B48" dT="2026-05-04T03:05:57.00" personId="{060CF5D2-D619-42D3-BF0B-E9D9F8B7B266}" id="{EC08EE09-552B-4756-AFC7-B3F26D92F3B8}">
    <text>العميل شغال شهري و هيتم مراجعه اليوزرات الخاصه به عشان يتم ارسال مطالبه له بالصيانة</text>
  </threadedComment>
  <threadedComment ref="B48" dT="2026-06-03T11:25:04.00" personId="{6BE63AB5-6B0B-4E30-B487-11C1CCF0DCCA}" id="{C005F0DF-6514-475A-88B2-3C968B6F3558}" parentId="{EC08EE09-552B-4756-AFC7-B3F26D92F3B8}">
    <text>هيتم ايقاف السيستم</text>
  </threadedComment>
  <threadedComment ref="B49" dT="2026-05-04T12:27:09.00" personId="{6BE63AB5-6B0B-4E30-B487-11C1CCF0DCCA}" id="{3C07C291-F3C1-4869-8095-9FC4B48FD9C5}">
    <text>العميل باعت اجزاء لكن المديونية الكامله غير معلومه</text>
  </threadedComment>
  <threadedComment ref="B50" dT="2026-05-03T11:32:31.00" personId="{060CF5D2-D619-42D3-BF0B-E9D9F8B7B266}" id="{CA931EC3-C522-4CB6-B66A-9796289A710C}">
    <text>حاله العميل : 
- عليه مديونية قديمه + صيانة 
- العميل تم التقسيط له ولم يتم ابلاغي بشكل واضح غير انه بيدفع شهريا 1500 ريال ( لم يتم ابلاغي ب كامل المديونية و تفاصيلها و كم عدد الدفعات التي تم سدادها و كم عدد الدفعات المتبقي 
يتم مراجعه العميل من شهر 1 الي شهر 4</text>
  </threadedComment>
  <threadedComment ref="B51" dT="2026-04-30T11:48:35.00" personId="{060CF5D2-D619-42D3-BF0B-E9D9F8B7B266}" id="{1489FBC0-A3D8-4981-A3E7-BA2A218789A9}">
    <text>بشمهندس طلعت بلغ ان عليه مديونية و سيتم ابلاغي بالمديونية من بشمهندس طلعت</text>
  </threadedComment>
  <threadedComment ref="B51" dT="2026-08-09T10:37:24.88" personId="{4FC5AAE6-3F44-406C-ACC3-F97EBC0E3385}" id="{ED9024D1-A1A2-420B-B15B-0BD2C43D4EE0}" parentId="{1489FBC0-A3D8-4981-A3E7-BA2A218789A9}">
    <text>العميل بيشتغل فاتورة كل فترة لانه كان له طلب تخصيص معين لفواتير المبيعات ولم يتم استكماله واخر فاتورة تمت يوم2 الشهرى الحالى
له يوزر حسابات ولاكن لا يعمل على الحسابات ومفصول حسابات</text>
  </threadedComment>
  <threadedComment ref="B53" dT="2026-04-30T02:51:05.00" personId="{060CF5D2-D619-42D3-BF0B-E9D9F8B7B266}" id="{1F298BB8-1A1E-4798-95D2-210936323B83}" done="1">
    <text>لا يوجد بيانات عن الشركه</text>
  </threadedComment>
  <threadedComment ref="B53" dT="2026-04-30T11:37:27.00" personId="{060CF5D2-D619-42D3-BF0B-E9D9F8B7B266}" id="{EDD1BC61-CD58-44E1-87B0-177639AE739C}" parentId="{1F298BB8-1A1E-4798-95D2-210936323B83}">
    <text>مع بشمهندس طلعت</text>
  </threadedComment>
  <threadedComment ref="B54" dT="2026-05-03T08:55:08.00" personId="{060CF5D2-D619-42D3-BF0B-E9D9F8B7B266}" id="{BF39D67E-E5D1-4109-9701-A2BA8D492737}">
    <text>الاشتراك شامل الضريبه : 446
الاشتراك عير شامل الضريبة : 387.83</text>
  </threadedComment>
  <threadedComment ref="B55" dT="2026-05-20T10:11:49.00" personId="{6BE63AB5-6B0B-4E30-B487-11C1CCF0DCCA}" id="{256A8D37-DA2A-46E0-B99B-7F423770BFC1}">
    <text>شركات الوقود لا اعرف عنها اي شي</text>
  </threadedComment>
  <threadedComment ref="B56" dT="2026-04-30T02:53:58.00" personId="{060CF5D2-D619-42D3-BF0B-E9D9F8B7B266}" id="{51DC51B8-EC1E-4610-8B73-473042CAF9BD}" done="1">
    <text>لا يوجد بيانات عن الشركه</text>
  </threadedComment>
  <threadedComment ref="B56" dT="2026-04-30T10:32:37.00" personId="{060CF5D2-D619-42D3-BF0B-E9D9F8B7B266}" id="{E13DB039-3556-490E-AB67-24E0466B7515}" parentId="{51DC51B8-EC1E-4610-8B73-473042CAF9BD}">
    <text>الصيانه السنويه مع بشمهندس طلعت</text>
  </threadedComment>
  <threadedComment ref="B58" dT="2026-05-20T10:38:58.00" personId="{6BE63AB5-6B0B-4E30-B487-11C1CCF0DCCA}" id="{C218A5F1-0B75-467E-9D2C-578DB5908CFB}">
    <text>الشركة عليها تحصيلات لم يتم سدادها</text>
  </threadedComment>
  <threadedComment ref="B63" dT="2026-06-03T08:50:30.00" personId="{6BE63AB5-6B0B-4E30-B487-11C1CCF0DCCA}" id="{0910706C-7C86-4A63-B4B9-1085F8AAF84A}">
    <text>المدعي عليه سنتين 2000</text>
  </threadedComment>
  <threadedComment ref="B63" dT="2026-08-09T12:31:41.22" personId="{4FC5AAE6-3F44-406C-ACC3-F97EBC0E3385}" id="{7F5296F4-EA3B-48FE-B9CB-D558A64E696E}" parentId="{0910706C-7C86-4A63-B4B9-1085F8AAF84A}">
    <text xml:space="preserve">نظام المحاماه وله سيرفر خاص به </text>
  </threadedComment>
  <threadedComment ref="B64" dT="2026-06-03T08:54:15.00" personId="{6BE63AB5-6B0B-4E30-B487-11C1CCF0DCCA}" id="{AFCF6667-087F-4F36-8F20-0B24D2506C5F}">
    <text>عليه 2400 قبل الضريبه عليه نظام الحسابات سنوي 
هيتم مراجعتها مع محمد حمدي</text>
  </threadedComment>
  <threadedComment ref="B68" dT="2026-05-20T12:37:13.00" personId="{6BE63AB5-6B0B-4E30-B487-11C1CCF0DCCA}" id="{EB3710D3-1CEF-46F6-9B76-6B4F547C588D}">
    <text>الوقود معنديش معلومات عنها</text>
  </threadedComment>
  <threadedComment ref="B69" dT="2026-04-30T11:54:49.00" personId="{060CF5D2-D619-42D3-BF0B-E9D9F8B7B266}" id="{21D7F1A2-D0D6-4235-9DE8-F4AF3D46211B}">
    <text>يتم مراجعه نجوم الارض</text>
  </threadedComment>
  <threadedComment ref="B70" dT="2026-08-10T07:13:42.48" personId="{4FC5AAE6-3F44-406C-ACC3-F97EBC0E3385}" id="{85777296-8E47-4945-B416-E545BEEDF70E}">
    <text xml:space="preserve">تم اشتراك العميل والدفع ولم يبدء العمل اطلاقا </text>
  </threadedComment>
  <threadedComment ref="B78" dT="2026-05-21T10:37:51.00" personId="{6BE63AB5-6B0B-4E30-B487-11C1CCF0DCCA}" id="{9927203B-11CC-4227-A747-F59C7610C04F}">
    <text>بياناتها مع بشمهندس طلعت</text>
  </threadedComment>
</ThreadedComments>
</file>

<file path=xl/threadedComments/threadedComment2.xml><?xml version="1.0" encoding="utf-8"?>
<ThreadedComments xmlns="http://schemas.microsoft.com/office/spreadsheetml/2018/threadedcomments" xmlns:x="http://schemas.openxmlformats.org/spreadsheetml/2006/main">
  <threadedComment ref="I2" dT="2026-05-05T08:27:01.00" personId="{6BE63AB5-6B0B-4E30-B487-11C1CCF0DCCA}" id="{16C5BE27-A55B-4C36-866D-EAB1C7D3008D}" done="1">
    <text>يتم وضعها في قائمه الشركات التي ستتوقف عن العمل</text>
  </threadedComment>
  <threadedComment ref="I3" dT="2026-04-23T09:23:10.00" personId="{060CF5D2-D619-42D3-BF0B-E9D9F8B7B266}" id="{24B8DE91-B018-4E15-BBF2-0F3075FD0643}" done="1">
    <text>محمد عبدالعاطي مش بيرد علي الهاتف 
هيتم التواصل مع مسئول اخر في حاله عدم الرد</text>
  </threadedComment>
  <threadedComment ref="I3" dT="2026-05-03T10:08:30.00" personId="{060CF5D2-D619-42D3-BF0B-E9D9F8B7B266}" id="{2905BEE7-6A34-46E2-83EB-AE707FAB8F29}" parentId="{24B8DE91-B018-4E15-BBF2-0F3075FD0643}">
    <text>صيانه العميل : 10500 
العميل دفع : 5745
الباقي المستحق :4,755</text>
  </threadedComment>
  <threadedComment ref="I4" dT="2026-04-23T09:36:33.00" personId="{060CF5D2-D619-42D3-BF0B-E9D9F8B7B266}" id="{9EBF71AD-C254-40FC-93DD-D2D47F630834}" done="1">
    <text>تم الاتصال ب محمد عبدالعاطي و لكن العميل مش بيرد و هيتم التواصل مع احد اخر من الاداره</text>
  </threadedComment>
  <threadedComment ref="I5" dT="2026-05-05T08:33:20.00" personId="{6BE63AB5-6B0B-4E30-B487-11C1CCF0DCCA}" id="{4C74820C-B612-4E5B-90BA-EEB4AE801939}">
    <text>- يتم مراجعه اخر تحجصيل للعميل و ارساله مطالبه مطابقه لاخر تحصيل 
-لو لم يتم ايجاد مطالبه يتم ارسال تحصيل من العميل ب 1000 ريال فقط 
- بناءا علي تعلميات بشمهندس طلعت</text>
  </threadedComment>
  <threadedComment ref="I5" dT="2026-05-06T12:10:10.00" personId="{6BE63AB5-6B0B-4E30-B487-11C1CCF0DCCA}" id="{588C109E-168C-4AC8-A262-0ED14E99E40B}" parentId="{4C74820C-B612-4E5B-90BA-EEB4AE801939}">
    <text>تم عمل مطالبه ماليه بقيمه 1150 ريال بالضريبه و تم ارسالها لفارس المحاسب في شركه يونيلا و بلغ ان هيحصل الاربعاء او الخميس و هيبلغ اول ما يحصل</text>
  </threadedComment>
  <threadedComment ref="I5" dT="2026-05-13T09:23:48.00" personId="{6BE63AB5-6B0B-4E30-B487-11C1CCF0DCCA}" id="{FF9948EC-C242-485B-9D13-698D483DDF6D}" parentId="{4C74820C-B612-4E5B-90BA-EEB4AE801939}">
    <text>العميل الغي النظام 
و بشمهندس طلعت بلغ ان كده العميل عليه 500 ريال</text>
  </threadedComment>
  <threadedComment ref="I5" dT="2026-05-18T12:30:41.00" personId="{6BE63AB5-6B0B-4E30-B487-11C1CCF0DCCA}" id="{70EA39B1-3670-4F09-8AE9-E1FA223D9BA0}" parentId="{4C74820C-B612-4E5B-90BA-EEB4AE801939}">
    <text>تم ارسال مطالبه ب 575 ريال شهريا</text>
  </threadedComment>
  <threadedComment ref="I6" dT="2026-05-05T09:08:02.00" personId="{6BE63AB5-6B0B-4E30-B487-11C1CCF0DCCA}" id="{63808D50-34EA-4BEB-AD8E-E3561EE11B7C}">
    <text>هيتم ارسال بيانات العميل لبشمهندس طلعت للمتابعه معه
يتم ارسال المعلومات احد الموظفين لبشمهندس طلعت</text>
  </threadedComment>
  <threadedComment ref="I7" dT="2026-05-05T09:08:47.00" personId="{6BE63AB5-6B0B-4E30-B487-11C1CCF0DCCA}" id="{76143EB0-1D97-499E-9B1F-54481283C9B6}">
    <text>0 558686444
احمد النخبه</text>
  </threadedComment>
  <threadedComment ref="I7" dT="2026-05-06T12:10:26.00" personId="{6BE63AB5-6B0B-4E30-B487-11C1CCF0DCCA}" id="{57026A4C-BF43-4A1C-B066-E9825D66183E}" parentId="{76143EB0-1D97-499E-9B1F-54481283C9B6}">
    <text>تم التواصل مع احمد من شركه النخبه ولكن لا يرد</text>
  </threadedComment>
  <threadedComment ref="I7" dT="2026-05-12T08:05:27.00" personId="{6BE63AB5-6B0B-4E30-B487-11C1CCF0DCCA}" id="{819E0436-01B9-43BD-B720-020760BD7B6D}" parentId="{76143EB0-1D97-499E-9B1F-54481283C9B6}">
    <text>تم التواصل مع احمد ولكن مش بيرد نهائي</text>
  </threadedComment>
  <threadedComment ref="I8" dT="2026-04-23T09:50:43.00" personId="{060CF5D2-D619-42D3-BF0B-E9D9F8B7B266}" id="{ABA0C776-86C9-44B2-BA01-142E99FCDB29}" done="1">
    <text>تم التواصل مع خالد بخصوص المطالبه و بلغ انه هيخلي المسول ابو عبدالعزيز يتواصل مع بشمهندس طلعت عشان هو المسول عن المطالبات</text>
  </threadedComment>
  <threadedComment ref="I8" dT="2026-05-05T09:10:03.00" personId="{6BE63AB5-6B0B-4E30-B487-11C1CCF0DCCA}" id="{78DB9FEF-E997-4B17-A4BB-B44203F61986}" parentId="{ABA0C776-86C9-44B2-BA01-142E99FCDB29}">
    <text>بشمهندس طلعت بلغ  انه هيحصل من العميل
Marked as resolved</text>
  </threadedComment>
  <threadedComment ref="I9" dT="2026-04-23T09:59:04.00" personId="{060CF5D2-D619-42D3-BF0B-E9D9F8B7B266}" id="{479F3EB2-22E3-4CDE-9E2D-8C99CAD352A7}" done="1">
    <text>العميل هاتفه مغلق ولا يرد علي الواتساب</text>
  </threadedComment>
  <threadedComment ref="I9" dT="2026-04-29T08:39:56.00" personId="{060CF5D2-D619-42D3-BF0B-E9D9F8B7B266}" id="{3F3047AD-E116-40F8-A341-F84EC744B00E}" parentId="{479F3EB2-22E3-4CDE-9E2D-8C99CAD352A7}">
    <text>تم ارسال العميل من ضمن القائمه الي مصطفي قاعود لايقاف النظام عليه بسبب عدم الرد و التاخر في السداد</text>
  </threadedComment>
  <threadedComment ref="I9" dT="2026-05-05T07:26:16.00" personId="{6BE63AB5-6B0B-4E30-B487-11C1CCF0DCCA}" id="{F3B66F3E-8770-4A98-9AE1-FAD713E10D75}" parentId="{479F3EB2-22E3-4CDE-9E2D-8C99CAD352A7}">
    <text>هيتم توقف النظام علي مجدي جميل</text>
  </threadedComment>
  <threadedComment ref="I10" dT="2026-04-23T10:14:08.00" personId="{060CF5D2-D619-42D3-BF0B-E9D9F8B7B266}" id="{3533019E-B3D2-49C4-A1F4-C1A4E9B284BB}" done="1">
    <text>تم تحصيل منه 5000 و باقي 3000 ريال
23-4-2026 : العميل مش بيرد</text>
  </threadedComment>
  <threadedComment ref="I11" dT="2026-04-30T12:13:00.00" personId="{060CF5D2-D619-42D3-BF0B-E9D9F8B7B266}" id="{B61937D6-9687-4DD0-9D4B-7DA18CF6095A}">
    <text>العميل طلب اضافه يوزر مندوب و تم ارسال مطالبه له و في انتظار التحويل عشان يتم تفعيل اليوزر له</text>
  </threadedComment>
  <threadedComment ref="I11" dT="2026-05-03T12:11:40.00" personId="{060CF5D2-D619-42D3-BF0B-E9D9F8B7B266}" id="{B8B08132-33D8-40AE-A7CF-0125CC0799B1}" parentId="{B61937D6-9687-4DD0-9D4B-7DA18CF6095A}">
    <text>تم تحصيل يوزر مندوب بقيمه 1150</text>
  </threadedComment>
  <threadedComment ref="I12" dT="2026-05-12T09:43:24.00" personId="{6BE63AB5-6B0B-4E30-B487-11C1CCF0DCCA}" id="{DBD746E1-5425-4BE5-9AD8-98B3C2A96EE4}">
    <text>تم تحصيل 5000 جنيه المطالبه الماليه الخاصه بنظام الحسابات</text>
  </threadedComment>
  <threadedComment ref="I13" dT="2026-05-05T09:21:36.00" personId="{6BE63AB5-6B0B-4E30-B487-11C1CCF0DCCA}" id="{44D664CB-398C-4ED3-B65D-E28F23172940}">
    <text>مهندس طلعت بلغ انه هيتواصل معاه عشان المشكله اللي عنده</text>
  </threadedComment>
  <threadedComment ref="I13" dT="2026-06-01T13:08:42.00" personId="{6BE63AB5-6B0B-4E30-B487-11C1CCF0DCCA}" id="{538453A7-E4D2-4335-AE01-D068746D786F}" parentId="{44D664CB-398C-4ED3-B65D-E28F23172940}">
    <text>بشمهندس طلعت بلغ انه هيتم فصل النظام عليه و لكن لسه لم يتم التاكيد</text>
  </threadedComment>
  <threadedComment ref="I14" dT="2026-05-05T08:23:35.00" personId="{6BE63AB5-6B0B-4E30-B487-11C1CCF0DCCA}" id="{512C3BCA-1A25-4862-BBBF-E13FB6BEAA34}" done="1">
    <text>تفاصيل صيانه النجمة للتجاره : 
- الصيانه السنوية للعميل ( 10500 ) 
- تم تحصيل من العميل يوم ( 19-1-2026) 5745 ريال 
- الباقي المستحق 4755 ريال</text>
  </threadedComment>
  <threadedComment ref="I15" dT="2026-05-05T09:37:56.00" personId="{6BE63AB5-6B0B-4E30-B487-11C1CCF0DCCA}" id="{4FC74253-CDDD-4473-932E-165D26DDBFEF}">
    <text>الصيانه السنوية للعميل : 
- الاجمالي : 10500 ريال 
- تم سداد 5745 ريال 
- الباقي 4755 ريال 
هيتم ارسال مطالبه للعميل بالمديونية</text>
  </threadedComment>
  <threadedComment ref="I16" dT="2026-05-03T07:50:26.00" personId="{060CF5D2-D619-42D3-BF0B-E9D9F8B7B266}" id="{0CBBCE89-9F98-44BE-8BD2-141FA095D242}" done="1">
    <text>تم عمل مطالبه شهريه للعميل و تم ارسالها الي مصطفي قاعود للمراجعه و ارسالها الي العميل للتحصيل ( المطالبه شامله الضريبة )</text>
  </threadedComment>
  <threadedComment ref="I16" dT="2026-05-05T07:30:51.00" personId="{6BE63AB5-6B0B-4E30-B487-11C1CCF0DCCA}" id="{B2DA3E47-9444-4CB9-BB3F-CB8F605BB91D}" parentId="{0CBBCE89-9F98-44BE-8BD2-141FA095D242}">
    <text>التحصيل من شهر السابق من مصطفي قاعود و ارسالها ل طلعت</text>
  </threadedComment>
  <threadedComment ref="I16" dT="2026-05-05T09:39:49.00" personId="{6BE63AB5-6B0B-4E30-B487-11C1CCF0DCCA}" id="{37AB4E5A-2FDA-4EA7-824C-E92F555CD1DC}" parentId="{0CBBCE89-9F98-44BE-8BD2-141FA095D242}">
    <text>بشمهندس طلعت طلب
Marked as resolved</text>
  </threadedComment>
  <threadedComment ref="I17" dT="2026-05-03T10:33:40.00" personId="{060CF5D2-D619-42D3-BF0B-E9D9F8B7B266}" id="{CEF83FFA-CBF2-4F19-8665-B6BF076A01CB}">
    <text>تحصيل الصيانه السنوية : 3450  ريال</text>
  </threadedComment>
  <threadedComment ref="I17" dT="2026-05-05T07:32:24.00" personId="{6BE63AB5-6B0B-4E30-B487-11C1CCF0DCCA}" id="{C079E7E9-23E8-4FA3-A988-CE731C683A30}" parentId="{CEF83FFA-CBF2-4F19-8665-B6BF076A01CB}">
    <text>العميل عليه 450</text>
  </threadedComment>
  <threadedComment ref="I17" dT="2026-05-05T09:47:41.00" personId="{6BE63AB5-6B0B-4E30-B487-11C1CCF0DCCA}" id="{A3DC4A96-72B8-428D-9A66-48F4514265A8}" parentId="{CEF83FFA-CBF2-4F19-8665-B6BF076A01CB}">
    <text>تم تحصيل 3000 لكن الصيانه السنويه للعميل 3450
هيتم مراجعه قاعود فيها</text>
  </threadedComment>
  <threadedComment ref="I18" dT="2026-05-03T10:37:26.00" personId="{060CF5D2-D619-42D3-BF0B-E9D9F8B7B266}" id="{A9E97C41-EF49-495E-BB34-0F5D2DB30CF3}">
    <text>مديونية العميل : 6500</text>
  </threadedComment>
  <threadedComment ref="I18" dT="2026-05-05T07:32:39.00" personId="{6BE63AB5-6B0B-4E30-B487-11C1CCF0DCCA}" id="{ED27B3E4-C79D-4635-AC13-62FE2EF1DC72}" parentId="{A9E97C41-EF49-495E-BB34-0F5D2DB30CF3}">
    <text>العميل عليه اقساط و يتم مراجعتها مع مصطفي قاعود</text>
  </threadedComment>
  <threadedComment ref="I18" dT="2026-05-06T13:20:08.00" personId="{6BE63AB5-6B0B-4E30-B487-11C1CCF0DCCA}" id="{C193419E-5D7B-4047-8604-B297F95DDC28}" parentId="{A9E97C41-EF49-495E-BB34-0F5D2DB30CF3}">
    <text>بعد مراجعه الواتساب لمنذر محاسب في فروج الريف العميل دفه دفعه و بعت فايل التحويل لكن الفايل مش بينزل مبقاش متاح انزله علي الواتس 
و كان مبلغ ان حد يروح و يحصل منه في الشركه كاش و لكن في الشات مش باين هل حد حصل او لا 
و بلغ انهه عايز يوقف بعض اليوزرات عشان مش بيستخدمها</text>
  </threadedComment>
  <threadedComment ref="I18" dT="2026-05-12T08:22:11.00" personId="{6BE63AB5-6B0B-4E30-B487-11C1CCF0DCCA}" id="{C79A55AB-7C50-4F4E-8E04-440A876E8228}" parentId="{A9E97C41-EF49-495E-BB34-0F5D2DB30CF3}">
    <text>تمت  مراجعه منذر في اليوزرات اللي شغاله و بلغ ان اليوزرات اللي شغاله عنده 4 فقط مش عشره و هم 
يوزر منذر - محمد رابح 
يوزر مناديب ( مصطفي سراج  - حسام )</text>
  </threadedComment>
  <threadedComment ref="I19" dT="2026-05-03T10:47:27.00" personId="{060CF5D2-D619-42D3-BF0B-E9D9F8B7B266}" id="{7EA67FE3-B493-4B38-9552-59F900E83853}">
    <text>تحصيل اضافه يوزرات</text>
  </threadedComment>
  <threadedComment ref="I19" dT="2026-05-03T12:32:57.00" personId="{060CF5D2-D619-42D3-BF0B-E9D9F8B7B266}" id="{5C13DD80-85DA-471A-9945-761F75DE64D5}" parentId="{7EA67FE3-B493-4B38-9552-59F900E83853}">
    <text>تم التحصيل من العميل</text>
  </threadedComment>
  <threadedComment ref="I19" dT="2026-05-04T09:55:07.00" personId="{6BE63AB5-6B0B-4E30-B487-11C1CCF0DCCA}" id="{B97C77BB-C533-4928-8D4D-9BB69872D03B}" parentId="{7EA67FE3-B493-4B38-9552-59F900E83853}">
    <text>تم تحصيل من العميل 5000</text>
  </threadedComment>
  <threadedComment ref="I20" dT="2026-05-03T10:49:52.00" personId="{060CF5D2-D619-42D3-BF0B-E9D9F8B7B266}" id="{37ADBE39-771F-481E-8B19-C81E4354F4AE}">
    <text>العميل متوقف و هيتم المتابعه معه</text>
  </threadedComment>
  <threadedComment ref="I20" dT="2026-05-05T07:33:01.00" personId="{6BE63AB5-6B0B-4E30-B487-11C1CCF0DCCA}" id="{42B2D413-BF0C-4717-88B6-3F98C88AEC3F}" parentId="{37ADBE39-771F-481E-8B19-C81E4354F4AE}">
    <text>يتم ايقاف السيستم</text>
  </threadedComment>
  <threadedComment ref="I21" dT="2026-05-03T10:56:18.00" personId="{060CF5D2-D619-42D3-BF0B-E9D9F8B7B266}" id="{50BAD237-72DA-4328-BDDF-F32A6B8481F1}">
    <text>العميل اشتراك شهري
اخر اشتراك تم دفعه بتاريخ : 23-4-2025</text>
  </threadedComment>
  <threadedComment ref="I22" dT="2026-06-02T08:16:45.00" personId="{6BE63AB5-6B0B-4E30-B487-11C1CCF0DCCA}" id="{0C774912-3324-4D2A-9324-8B64FD7ACB32}">
    <text>العميل ارسل تجديد 6 شهور 1200 ريال</text>
  </threadedComment>
  <threadedComment ref="I23" dT="2026-05-03T10:59:47.00" personId="{060CF5D2-D619-42D3-BF0B-E9D9F8B7B266}" id="{C2F71034-38CE-4FF2-B3A2-E7534AD33F31}">
    <text>لا يوجد اي بيانات تحصيل و اخر تحصيل تم بتاريخ استحقاق 12/26/2025</text>
  </threadedComment>
  <threadedComment ref="I23" dT="2026-05-05T07:34:40.00" personId="{6BE63AB5-6B0B-4E30-B487-11C1CCF0DCCA}" id="{AA782D05-41CF-4F8C-8BAA-529573E5597C}" parentId="{C2F71034-38CE-4FF2-B3A2-E7534AD33F31}">
    <text>التاكيد من مصطفي ان التحويل تم من العميل</text>
  </threadedComment>
  <threadedComment ref="I24" dT="2026-05-03T11:01:37.00" personId="{060CF5D2-D619-42D3-BF0B-E9D9F8B7B266}" id="{AF98EC62-84EA-4DE6-879A-26E231B905CB}">
    <text>تحصيل سنوي واخر تحصيل تم بتاريخ استحقاق 9/23/2024</text>
  </threadedComment>
  <threadedComment ref="I24" dT="2026-05-05T07:34:53.00" personId="{6BE63AB5-6B0B-4E30-B487-11C1CCF0DCCA}" id="{5E1DA24B-11CE-46F7-9F3F-C92C9F4105DD}" parentId="{AF98EC62-84EA-4DE6-879A-26E231B905CB}">
    <text>مع بشمندس طلعت</text>
  </threadedComment>
  <threadedComment ref="I25" dT="2026-05-03T11:07:05.00" personId="{060CF5D2-D619-42D3-BF0B-E9D9F8B7B266}" id="{1AAC0767-BB82-44E3-94B0-F98603225B8E}">
    <text>تاريخ اخر استحقاق : 10/2/2025</text>
  </threadedComment>
  <threadedComment ref="I25" dT="2026-05-05T10:08:13.00" personId="{6BE63AB5-6B0B-4E30-B487-11C1CCF0DCCA}" id="{482670D3-9DD9-4B16-9BD1-D2F0E25FDF02}" parentId="{1AAC0767-BB82-44E3-94B0-F98603225B8E}">
    <text>التاكد من قاعود  من ارسال  تحويل من العميل</text>
  </threadedComment>
  <threadedComment ref="I26" dT="2026-05-03T12:16:35.00" personId="{060CF5D2-D619-42D3-BF0B-E9D9F8B7B266}" id="{A9388719-B125-43AE-AE56-311567E67C03}">
    <text>عليه مديوينة سابقه : 5000 hR</text>
  </threadedComment>
  <threadedComment ref="I26" dT="2026-05-13T09:24:33.00" personId="{6BE63AB5-6B0B-4E30-B487-11C1CCF0DCCA}" id="{2506A453-E710-40C7-9169-AA2522F81CD7}" parentId="{A9388719-B125-43AE-AE56-311567E67C03}">
    <text>تم ارسال المطالبه ل عبدالغني و في انتظار التحصيل منه و هيتم المتابعه معاه للتحصيل</text>
  </threadedComment>
  <threadedComment ref="I27" dT="2026-05-03T12:24:34.00" personId="{060CF5D2-D619-42D3-BF0B-E9D9F8B7B266}" id="{C04F3E50-E48B-4316-8710-3256891CD064}">
    <text>مراجعه يوزرات العميل و تحصيل منه الاشتراك الشهري</text>
  </threadedComment>
  <threadedComment ref="I27" dT="2026-05-05T07:37:05.00" personId="{6BE63AB5-6B0B-4E30-B487-11C1CCF0DCCA}" id="{C3860C05-8480-49FA-AE0F-03D94B70B824}" parentId="{C04F3E50-E48B-4316-8710-3256891CD064}">
    <text>هيتم مراجعه العميل و هيتم ايقافه</text>
  </threadedComment>
  <threadedComment ref="I28" dT="2026-05-03T12:27:18.00" personId="{060CF5D2-D619-42D3-BF0B-E9D9F8B7B266}" id="{075C5891-0BE3-4217-9D8F-9B27A149E7D6}">
    <text>تحصيل اشتراك شهري</text>
  </threadedComment>
  <threadedComment ref="I28" dT="2026-05-05T10:21:02.00" personId="{6BE63AB5-6B0B-4E30-B487-11C1CCF0DCCA}" id="{BE87A0B5-1C32-45C2-9491-35C96CF73D4E}" parentId="{075C5891-0BE3-4217-9D8F-9B27A149E7D6}">
    <text>- العميل اشتراكه الشهري ( 230 ) 
- هيتم ارسال رساله المطالبه الخاصه للعميل 
- هيتم ارسال عرض سعر سنوي للعميل لشركته</text>
  </threadedComment>
  <threadedComment ref="I29" dT="2026-05-03T12:48:11.00" personId="{060CF5D2-D619-42D3-BF0B-E9D9F8B7B266}" id="{6BAEEB15-F5A3-46C8-B7F2-B5AE01EA1F07}">
    <text>مديونية علي العميل : 1152.5 ريال</text>
  </threadedComment>
  <threadedComment ref="I29" dT="2026-05-05T06:57:37.00" personId="{6BE63AB5-6B0B-4E30-B487-11C1CCF0DCCA}" id="{7A3D509D-2DEC-4100-B9B3-B6B7A85C1880}" parentId="{6BAEEB15-F5A3-46C8-B7F2-B5AE01EA1F07}">
    <text>هناك شركه اخري مقاولات تابعه له اشتراكها الشهري 200  هيتم مراجعته</text>
  </threadedComment>
  <threadedComment ref="I29" dT="2026-05-06T05:54:50.00" personId="{6BE63AB5-6B0B-4E30-B487-11C1CCF0DCCA}" id="{22CF2754-E300-4425-B52A-57C700F12771}" parentId="{6BAEEB15-F5A3-46C8-B7F2-B5AE01EA1F07}">
    <text>تم تحصيل مديونية كيان  كامله</text>
  </threadedComment>
  <threadedComment ref="I30" dT="2026-05-05T10:29:18.00" personId="{6BE63AB5-6B0B-4E30-B487-11C1CCF0DCCA}" id="{DAEED770-CE92-4330-AB0D-7A1E57B700B6}">
    <text>العميل عليه سنتين اجمالي : 10000 ريال</text>
  </threadedComment>
  <threadedComment ref="I31" dT="2026-05-05T13:10:10.00" personId="{6BE63AB5-6B0B-4E30-B487-11C1CCF0DCCA}" id="{D6345A5F-AFE6-494E-BC89-1FF4748BE0B3}">
    <text>العميل حول 200 ريال و بلغ ان ده الاتفاق مع بشمهندس طلعت</text>
  </threadedComment>
  <threadedComment ref="I32" dT="2026-05-11T09:34:05.00" personId="{6BE63AB5-6B0B-4E30-B487-11C1CCF0DCCA}" id="{C9071180-CE34-45C5-B57A-5A1FFF41C5EB}">
    <text>التحصيل بالكامل كان مع مصطفي قاعود من البدايه الي التحصيل</text>
  </threadedComment>
  <threadedComment ref="I34" dT="2026-05-13T10:25:08.00" personId="{6BE63AB5-6B0B-4E30-B487-11C1CCF0DCCA}" id="{E8B48EA4-FA0F-49C2-86E0-6AD408876B4C}">
    <text>تحصيل تم من لتر بوينت دفعه 10000</text>
  </threadedComment>
  <threadedComment ref="I35" dT="2026-05-13T10:26:03.00" personId="{6BE63AB5-6B0B-4E30-B487-11C1CCF0DCCA}" id="{F5D7D0C2-7838-4DAB-AD81-4B38DA3D3804}">
    <text>العميل عمل تحويل دفعه 13-5-2026 ب 10000 ريال</text>
  </threadedComment>
  <threadedComment ref="I36" dT="2026-05-17T11:47:47.00" personId="{6BE63AB5-6B0B-4E30-B487-11C1CCF0DCCA}" id="{8354EC96-A694-483B-BF58-7ED26A1C5817}">
    <text>تم التحصيل من العميل اليوم</text>
  </threadedComment>
  <threadedComment ref="I37" dT="2026-06-01T06:58:15.00" personId="{6BE63AB5-6B0B-4E30-B487-11C1CCF0DCCA}" id="{5728FC76-429D-421D-A8BD-390F5975A62F}">
    <text>تم تحويل من العميل</text>
  </threadedComment>
  <threadedComment ref="I38" dT="2026-06-01T06:58:02.00" personId="{6BE63AB5-6B0B-4E30-B487-11C1CCF0DCCA}" id="{1912792C-D2B8-44B7-A3E8-B9C0000F342E}">
    <text>العميل حول المديونيه الشهريه و تم فتح النظام له شهر</text>
  </threadedComment>
  <threadedComment ref="I39" dT="2026-06-04T13:30:27.00" personId="{6BE63AB5-6B0B-4E30-B487-11C1CCF0DCCA}" id="{0EDFD38C-64A4-42B6-B22C-15BB937CDB8E}">
    <text>تم ارسال المطالبه للعميل و هيتم المتابعه معه الاسبوع المقبل للتحصيل</text>
  </threadedComment>
  <threadedComment ref="I40" dT="2026-06-07T10:20:06.00" personId="{6BE63AB5-6B0B-4E30-B487-11C1CCF0DCCA}" id="{90631DC2-300B-4194-B350-0AC6C4704EFD}">
    <text>التجديد السنوي</text>
  </threadedComment>
  <threadedComment ref="I41" dT="2026-06-10T06:34:13.00" personId="{6BE63AB5-6B0B-4E30-B487-11C1CCF0DCCA}" id="{936A9DAE-173F-4442-BE33-C68A9872E0FA}">
    <text>في انتظار الموافقه مع العميل و عمل التحويل المالي المقدر ب 10000 جنية مصري</text>
  </threadedComment>
  <threadedComment ref="I42" dT="2026-06-07T10:20:22.00" personId="{6BE63AB5-6B0B-4E30-B487-11C1CCF0DCCA}" id="{3BC07415-FA60-4702-9A3D-EBCB64E663ED}">
    <text>الانتجريشن مع shopify</text>
  </threadedComment>
  <threadedComment ref="I42" dT="2026-06-10T06:32:25.00" personId="{6BE63AB5-6B0B-4E30-B487-11C1CCF0DCCA}" id="{F5179E29-9A60-472F-8CEA-4DF3620E100C}" parentId="{3BC07415-FA60-4702-9A3D-EBCB64E663ED}">
    <text>تم تحويل الانتجريشن مع شوفيفاي</text>
  </threadedComment>
  <threadedComment ref="I42" dT="2026-06-10T06:33:16.00" personId="{6BE63AB5-6B0B-4E30-B487-11C1CCF0DCCA}" id="{D2437D06-0D72-4857-A628-7B4E557E1D87}" parentId="{3BC07415-FA60-4702-9A3D-EBCB64E663ED}">
    <text>5000  جنية مصري</text>
  </threadedComment>
  <threadedComment ref="I43" dT="2026-06-08T08:19:48.00" personId="{6BE63AB5-6B0B-4E30-B487-11C1CCF0DCCA}" id="{F31F1338-709E-4299-982E-8F53E39A369B}">
    <text>هيتم المتابعه مع العميل يوم</text>
  </threadedComment>
  <threadedComment ref="I44" dT="2026-06-10T11:02:46.00" personId="{6BE63AB5-6B0B-4E30-B487-11C1CCF0DCCA}" id="{58269BAC-7806-44E3-AE75-F4BEADDA3B8E}">
    <text>ارسال عرض سعر زياره للمحطه ايكون 
بسعر 1725 شامل الضريبه 
و علي ان يتم التحويل اليوم لزياره المحطه</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availablespace.raitosystem.com/" TargetMode="External"/><Relationship Id="rId21" Type="http://schemas.openxmlformats.org/officeDocument/2006/relationships/hyperlink" Target="http://integrated.raitosystem.com/" TargetMode="External"/><Relationship Id="rId34" Type="http://schemas.openxmlformats.org/officeDocument/2006/relationships/hyperlink" Target="http://hamedinventory.raitosystem.com/" TargetMode="External"/><Relationship Id="rId42" Type="http://schemas.openxmlformats.org/officeDocument/2006/relationships/hyperlink" Target="http://yanabiealathir.raitosystem.com/" TargetMode="External"/><Relationship Id="rId47" Type="http://schemas.openxmlformats.org/officeDocument/2006/relationships/hyperlink" Target="http://egyptian.raitosystem.com/" TargetMode="External"/><Relationship Id="rId50" Type="http://schemas.openxmlformats.org/officeDocument/2006/relationships/hyperlink" Target="http://furatawater.raitosystem.com/" TargetMode="External"/><Relationship Id="rId55" Type="http://schemas.openxmlformats.org/officeDocument/2006/relationships/hyperlink" Target="http://earthstars.raitosystem.com/" TargetMode="External"/><Relationship Id="rId63" Type="http://schemas.openxmlformats.org/officeDocument/2006/relationships/table" Target="../tables/table1.xml"/><Relationship Id="rId7" Type="http://schemas.openxmlformats.org/officeDocument/2006/relationships/hyperlink" Target="http://subul.raitosystem.com/" TargetMode="External"/><Relationship Id="rId2" Type="http://schemas.openxmlformats.org/officeDocument/2006/relationships/hyperlink" Target="https://elasem.raitosystem.com/" TargetMode="External"/><Relationship Id="rId16" Type="http://schemas.openxmlformats.org/officeDocument/2006/relationships/hyperlink" Target="http://rawasi.raitosystem.com/" TargetMode="External"/><Relationship Id="rId29" Type="http://schemas.openxmlformats.org/officeDocument/2006/relationships/hyperlink" Target="http://literpoint.raitosystem.com/" TargetMode="External"/><Relationship Id="rId11" Type="http://schemas.openxmlformats.org/officeDocument/2006/relationships/hyperlink" Target="http://farujalasala.raitosystem.com/" TargetMode="External"/><Relationship Id="rId24" Type="http://schemas.openxmlformats.org/officeDocument/2006/relationships/hyperlink" Target="http://four-pyramids3.raitosystem.com/" TargetMode="External"/><Relationship Id="rId32" Type="http://schemas.openxmlformats.org/officeDocument/2006/relationships/hyperlink" Target="http://goodconsumer.raitosystem.com/" TargetMode="External"/><Relationship Id="rId37" Type="http://schemas.openxmlformats.org/officeDocument/2006/relationships/hyperlink" Target="http://plancontracting.raitosystem.net/" TargetMode="External"/><Relationship Id="rId40" Type="http://schemas.openxmlformats.org/officeDocument/2006/relationships/hyperlink" Target="http://kayaanelzeraa.raitosystem.com/" TargetMode="External"/><Relationship Id="rId45" Type="http://schemas.openxmlformats.org/officeDocument/2006/relationships/hyperlink" Target="http://walaa.raitosystem.com/" TargetMode="External"/><Relationship Id="rId53" Type="http://schemas.openxmlformats.org/officeDocument/2006/relationships/hyperlink" Target="https://almuddei.com.sa/system/login" TargetMode="External"/><Relationship Id="rId58" Type="http://schemas.openxmlformats.org/officeDocument/2006/relationships/hyperlink" Target="https://aryashpoultry.raitosystem.com/" TargetMode="External"/><Relationship Id="rId5" Type="http://schemas.openxmlformats.org/officeDocument/2006/relationships/hyperlink" Target="http://inventorysystem.raitosystem.com/" TargetMode="External"/><Relationship Id="rId61" Type="http://schemas.openxmlformats.org/officeDocument/2006/relationships/drawing" Target="../drawings/drawing1.xml"/><Relationship Id="rId19" Type="http://schemas.openxmlformats.org/officeDocument/2006/relationships/hyperlink" Target="http://trip-inventory.raitosystem.com/" TargetMode="External"/><Relationship Id="rId14" Type="http://schemas.openxmlformats.org/officeDocument/2006/relationships/hyperlink" Target="https://rapidoilstation.raitosystem.com/" TargetMode="External"/><Relationship Id="rId22" Type="http://schemas.openxmlformats.org/officeDocument/2006/relationships/hyperlink" Target="http://icon.raitosystem.com/" TargetMode="External"/><Relationship Id="rId27" Type="http://schemas.openxmlformats.org/officeDocument/2006/relationships/hyperlink" Target="http://fourpyramidsnew.raitosystem.com/" TargetMode="External"/><Relationship Id="rId30" Type="http://schemas.openxmlformats.org/officeDocument/2006/relationships/hyperlink" Target="http://four-pyramids4.raitosystem.com/" TargetMode="External"/><Relationship Id="rId35" Type="http://schemas.openxmlformats.org/officeDocument/2006/relationships/hyperlink" Target="http://muhandalghamdy.raitosystem.com/" TargetMode="External"/><Relationship Id="rId43" Type="http://schemas.openxmlformats.org/officeDocument/2006/relationships/hyperlink" Target="http://tharaafactory.raitosystem.com/" TargetMode="External"/><Relationship Id="rId48" Type="http://schemas.openxmlformats.org/officeDocument/2006/relationships/hyperlink" Target="http://lightningfuel.raitosystem.com/" TargetMode="External"/><Relationship Id="rId56" Type="http://schemas.openxmlformats.org/officeDocument/2006/relationships/hyperlink" Target="https://wadielreef.raitosystem.com/" TargetMode="External"/><Relationship Id="rId64" Type="http://schemas.openxmlformats.org/officeDocument/2006/relationships/comments" Target="../comments1.xml"/><Relationship Id="rId8" Type="http://schemas.openxmlformats.org/officeDocument/2006/relationships/hyperlink" Target="http://riyadhaccount.raitosystem.com/" TargetMode="External"/><Relationship Id="rId51" Type="http://schemas.openxmlformats.org/officeDocument/2006/relationships/hyperlink" Target="http://star.raitosystem.com/" TargetMode="External"/><Relationship Id="rId3" Type="http://schemas.openxmlformats.org/officeDocument/2006/relationships/hyperlink" Target="https://www.raitotec.org/khaled_accounts/login" TargetMode="External"/><Relationship Id="rId12" Type="http://schemas.openxmlformats.org/officeDocument/2006/relationships/hyperlink" Target="http://alnokhba.raitosystem.com/" TargetMode="External"/><Relationship Id="rId17" Type="http://schemas.openxmlformats.org/officeDocument/2006/relationships/hyperlink" Target="http://hamedaccounts.raitosystem.com/" TargetMode="External"/><Relationship Id="rId25" Type="http://schemas.openxmlformats.org/officeDocument/2006/relationships/hyperlink" Target="http://dhabi-water.raitosystem.com/" TargetMode="External"/><Relationship Id="rId33" Type="http://schemas.openxmlformats.org/officeDocument/2006/relationships/hyperlink" Target="http://aswaralsharq.raitosystem.com/" TargetMode="External"/><Relationship Id="rId38" Type="http://schemas.openxmlformats.org/officeDocument/2006/relationships/hyperlink" Target="http://saferfoods.raitosystem.com/" TargetMode="External"/><Relationship Id="rId46" Type="http://schemas.openxmlformats.org/officeDocument/2006/relationships/hyperlink" Target="http://alridhapoultry.raitosystem.com/" TargetMode="External"/><Relationship Id="rId59" Type="http://schemas.openxmlformats.org/officeDocument/2006/relationships/hyperlink" Target="http://alhusseini.raitosystem.com/" TargetMode="External"/><Relationship Id="rId20" Type="http://schemas.openxmlformats.org/officeDocument/2006/relationships/hyperlink" Target="http://bashayir-halaa.raitosystem.com/" TargetMode="External"/><Relationship Id="rId41" Type="http://schemas.openxmlformats.org/officeDocument/2006/relationships/hyperlink" Target="http://nasmaalmaeda.raitosystem.com/" TargetMode="External"/><Relationship Id="rId54" Type="http://schemas.openxmlformats.org/officeDocument/2006/relationships/hyperlink" Target="http://masa.raitosystem.com/" TargetMode="External"/><Relationship Id="rId62" Type="http://schemas.openxmlformats.org/officeDocument/2006/relationships/vmlDrawing" Target="../drawings/vmlDrawing1.vml"/><Relationship Id="rId1" Type="http://schemas.openxmlformats.org/officeDocument/2006/relationships/hyperlink" Target="http://abc.raitosystem.com/" TargetMode="External"/><Relationship Id="rId6" Type="http://schemas.openxmlformats.org/officeDocument/2006/relationships/hyperlink" Target="http://demo.raitosystem.com/" TargetMode="External"/><Relationship Id="rId15" Type="http://schemas.openxmlformats.org/officeDocument/2006/relationships/hyperlink" Target="https://alqasswalimited.raitosystem.com/" TargetMode="External"/><Relationship Id="rId23" Type="http://schemas.openxmlformats.org/officeDocument/2006/relationships/hyperlink" Target="http://maroujsafa.raitosystem.com/" TargetMode="External"/><Relationship Id="rId28" Type="http://schemas.openxmlformats.org/officeDocument/2006/relationships/hyperlink" Target="http://mubarakaldosarinew.raitosystem.com/" TargetMode="External"/><Relationship Id="rId36" Type="http://schemas.openxmlformats.org/officeDocument/2006/relationships/hyperlink" Target="http://maadity.raitosystem.com/" TargetMode="External"/><Relationship Id="rId49" Type="http://schemas.openxmlformats.org/officeDocument/2006/relationships/hyperlink" Target="http://zomorodcairo.raitosystem.com/" TargetMode="External"/><Relationship Id="rId57" Type="http://schemas.openxmlformats.org/officeDocument/2006/relationships/hyperlink" Target="https://unitedfalls.raitosystem.com/" TargetMode="External"/><Relationship Id="rId10" Type="http://schemas.openxmlformats.org/officeDocument/2006/relationships/hyperlink" Target="http://fourpyramids.raitosystem.com/" TargetMode="External"/><Relationship Id="rId31" Type="http://schemas.openxmlformats.org/officeDocument/2006/relationships/hyperlink" Target="http://wavessolutions.raitosystem.com/" TargetMode="External"/><Relationship Id="rId44" Type="http://schemas.openxmlformats.org/officeDocument/2006/relationships/hyperlink" Target="http://alshehri.raitosystem.com/" TargetMode="External"/><Relationship Id="rId52" Type="http://schemas.openxmlformats.org/officeDocument/2006/relationships/hyperlink" Target="https://farujalasala.raitosystem.com/" TargetMode="External"/><Relationship Id="rId60" Type="http://schemas.openxmlformats.org/officeDocument/2006/relationships/printerSettings" Target="../printerSettings/printerSettings1.bin"/><Relationship Id="rId65" Type="http://schemas.microsoft.com/office/2017/10/relationships/threadedComment" Target="../threadedComments/threadedComment1.xml"/><Relationship Id="rId4" Type="http://schemas.openxmlformats.org/officeDocument/2006/relationships/hyperlink" Target="http://badralbar.raitosystem.com/" TargetMode="External"/><Relationship Id="rId9" Type="http://schemas.openxmlformats.org/officeDocument/2006/relationships/hyperlink" Target="http://alreefpoultry.raitosystem.com/" TargetMode="External"/><Relationship Id="rId13" Type="http://schemas.openxmlformats.org/officeDocument/2006/relationships/hyperlink" Target="https://perfect-care.raitosystem.com/" TargetMode="External"/><Relationship Id="rId18" Type="http://schemas.openxmlformats.org/officeDocument/2006/relationships/hyperlink" Target="http://doubleseven.raitosystem.com/" TargetMode="External"/><Relationship Id="rId39" Type="http://schemas.openxmlformats.org/officeDocument/2006/relationships/hyperlink" Target="http://raniatransport.raitosystem.com/"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2.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E1006"/>
  <sheetViews>
    <sheetView rightToLeft="1" tabSelected="1" zoomScale="98" zoomScaleNormal="98" workbookViewId="0">
      <pane xSplit="2" ySplit="1" topLeftCell="Y41" activePane="bottomRight" state="frozen"/>
      <selection pane="topRight" activeCell="C1" sqref="C1"/>
      <selection pane="bottomLeft" activeCell="A2" sqref="A2"/>
      <selection pane="bottomRight" activeCell="K1" sqref="K1:K1048576"/>
    </sheetView>
  </sheetViews>
  <sheetFormatPr defaultColWidth="10.07421875" defaultRowHeight="15" customHeight="1"/>
  <cols>
    <col min="1" max="1" width="9.69140625" customWidth="1"/>
    <col min="2" max="2" width="27.5" customWidth="1"/>
    <col min="3" max="3" width="12.3828125" customWidth="1"/>
    <col min="4" max="6" width="31.69140625" customWidth="1"/>
    <col min="7" max="7" width="13.3046875" customWidth="1"/>
    <col min="8" max="8" width="15.07421875" customWidth="1"/>
    <col min="9" max="9" width="16.57421875" customWidth="1"/>
    <col min="10" max="10" width="12.57421875" customWidth="1"/>
    <col min="11" max="11" width="13.8828125" style="4" customWidth="1"/>
    <col min="12" max="12" width="13.8828125" customWidth="1"/>
    <col min="13" max="13" width="10.69140625" customWidth="1"/>
    <col min="14" max="15" width="14.07421875" customWidth="1"/>
    <col min="16" max="16" width="10.5" customWidth="1"/>
    <col min="17" max="17" width="12.8828125" customWidth="1"/>
    <col min="18" max="18" width="15.07421875" customWidth="1"/>
    <col min="19" max="19" width="18.07421875" customWidth="1"/>
    <col min="20" max="20" width="16.69140625" customWidth="1"/>
    <col min="21" max="21" width="14.07421875" customWidth="1"/>
    <col min="22" max="22" width="13.07421875" customWidth="1"/>
    <col min="23" max="23" width="9.8828125" customWidth="1"/>
    <col min="24" max="24" width="10.07421875" customWidth="1"/>
    <col min="25" max="25" width="9.8828125" customWidth="1"/>
    <col min="26" max="26" width="13.5" customWidth="1"/>
    <col min="27" max="27" width="18.07421875" customWidth="1"/>
    <col min="28" max="28" width="10.5" customWidth="1"/>
    <col min="29" max="29" width="13.5" customWidth="1"/>
    <col min="30" max="30" width="12" customWidth="1"/>
    <col min="31" max="31" width="9.8046875" customWidth="1"/>
    <col min="32" max="46" width="6.07421875" customWidth="1"/>
  </cols>
  <sheetData>
    <row r="1" spans="1:31" ht="22.5" customHeight="1">
      <c r="A1" s="1" t="s">
        <v>0</v>
      </c>
      <c r="B1" s="1" t="s">
        <v>1</v>
      </c>
      <c r="C1" s="1" t="s">
        <v>2</v>
      </c>
      <c r="D1" s="1" t="s">
        <v>3</v>
      </c>
      <c r="E1" s="1" t="s">
        <v>388</v>
      </c>
      <c r="F1" s="1" t="s">
        <v>4</v>
      </c>
      <c r="G1" s="1" t="s">
        <v>389</v>
      </c>
      <c r="H1" s="1" t="s">
        <v>390</v>
      </c>
      <c r="I1" s="1" t="s">
        <v>5</v>
      </c>
      <c r="J1" s="1" t="s">
        <v>6</v>
      </c>
      <c r="K1" s="4" t="s">
        <v>7</v>
      </c>
      <c r="L1" s="1" t="s">
        <v>8</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row>
    <row r="2" spans="1:31" ht="22.5" customHeight="1">
      <c r="A2" s="2">
        <v>1</v>
      </c>
      <c r="B2" s="36" t="s">
        <v>28</v>
      </c>
      <c r="C2" s="32" t="s">
        <v>341</v>
      </c>
      <c r="D2" s="31" t="s">
        <v>340</v>
      </c>
      <c r="E2" s="34" t="s">
        <v>339</v>
      </c>
      <c r="F2" s="33">
        <v>971552209099</v>
      </c>
      <c r="G2" s="6">
        <v>44279.424837962964</v>
      </c>
      <c r="H2" s="7">
        <v>46370</v>
      </c>
      <c r="I2" s="4" t="s">
        <v>29</v>
      </c>
      <c r="J2" s="4" t="s">
        <v>30</v>
      </c>
      <c r="L2" s="4">
        <v>0</v>
      </c>
      <c r="M2" s="4">
        <v>0</v>
      </c>
      <c r="N2" s="4">
        <v>0</v>
      </c>
      <c r="O2" s="4">
        <v>0</v>
      </c>
      <c r="P2" s="4">
        <v>0</v>
      </c>
      <c r="Q2" s="4">
        <v>0</v>
      </c>
      <c r="R2" s="4">
        <v>0</v>
      </c>
      <c r="S2" s="8">
        <f t="shared" ref="S2:S79" si="0">T2+U2</f>
        <v>0</v>
      </c>
      <c r="T2" s="8">
        <v>0</v>
      </c>
      <c r="U2" s="8">
        <v>0</v>
      </c>
      <c r="V2" s="4">
        <v>0</v>
      </c>
      <c r="W2" s="4">
        <v>0</v>
      </c>
      <c r="X2" s="4">
        <v>0</v>
      </c>
      <c r="Y2" s="4">
        <v>0</v>
      </c>
      <c r="Z2" s="4">
        <v>0</v>
      </c>
      <c r="AA2" s="4">
        <v>0</v>
      </c>
      <c r="AB2" s="4">
        <v>0</v>
      </c>
      <c r="AC2" s="4">
        <v>0</v>
      </c>
      <c r="AD2" s="35">
        <v>5</v>
      </c>
      <c r="AE2" s="4">
        <v>0</v>
      </c>
    </row>
    <row r="3" spans="1:31" ht="22.5" customHeight="1">
      <c r="A3" s="2">
        <f t="shared" ref="A3" si="1">A2+1</f>
        <v>2</v>
      </c>
      <c r="B3" s="35" t="s">
        <v>31</v>
      </c>
      <c r="C3" s="4" t="s">
        <v>32</v>
      </c>
      <c r="D3" s="9" t="s">
        <v>33</v>
      </c>
      <c r="E3" s="4" t="s">
        <v>34</v>
      </c>
      <c r="F3" s="4" t="s">
        <v>35</v>
      </c>
      <c r="G3" s="5">
        <v>45804</v>
      </c>
      <c r="H3" s="10">
        <v>46023</v>
      </c>
      <c r="I3" s="4" t="s">
        <v>36</v>
      </c>
      <c r="J3" s="4" t="s">
        <v>30</v>
      </c>
      <c r="L3" s="4">
        <f t="shared" ref="L3:L23" si="2">N3+Q3+T3+V3+W3+X3+Y3+Z3+AA3+AB3+AC3+AD3+AE3</f>
        <v>3</v>
      </c>
      <c r="M3" s="4">
        <f t="shared" ref="M3:M79" si="3">N3+O3</f>
        <v>0</v>
      </c>
      <c r="N3" s="4">
        <v>0</v>
      </c>
      <c r="O3" s="4">
        <v>0</v>
      </c>
      <c r="P3" s="35">
        <f t="shared" ref="P3:P79" si="4">Q3+R3</f>
        <v>2</v>
      </c>
      <c r="Q3" s="4">
        <v>2</v>
      </c>
      <c r="R3" s="4">
        <v>0</v>
      </c>
      <c r="S3" s="4">
        <f t="shared" si="0"/>
        <v>1</v>
      </c>
      <c r="T3" s="4">
        <v>1</v>
      </c>
      <c r="U3" s="4">
        <v>0</v>
      </c>
      <c r="V3" s="4"/>
      <c r="W3" s="4"/>
      <c r="X3" s="4"/>
      <c r="Y3" s="4"/>
      <c r="Z3" s="4"/>
      <c r="AA3" s="4"/>
      <c r="AB3" s="4"/>
      <c r="AC3" s="4"/>
      <c r="AD3" s="4"/>
      <c r="AE3" s="4"/>
    </row>
    <row r="4" spans="1:31" ht="22.5" customHeight="1">
      <c r="A4" s="2" t="e">
        <f>#REF!+1</f>
        <v>#REF!</v>
      </c>
      <c r="B4" s="35" t="s">
        <v>41</v>
      </c>
      <c r="C4" s="4" t="s">
        <v>42</v>
      </c>
      <c r="D4" s="12" t="s">
        <v>43</v>
      </c>
      <c r="E4" s="4" t="s">
        <v>44</v>
      </c>
      <c r="F4" s="4" t="s">
        <v>45</v>
      </c>
      <c r="G4" s="5">
        <v>44938</v>
      </c>
      <c r="H4" s="7">
        <v>46034</v>
      </c>
      <c r="I4" s="4" t="s">
        <v>36</v>
      </c>
      <c r="J4" s="4" t="s">
        <v>30</v>
      </c>
      <c r="K4" s="4" t="s">
        <v>46</v>
      </c>
      <c r="L4" s="4">
        <v>4</v>
      </c>
      <c r="M4" s="4">
        <v>0</v>
      </c>
      <c r="N4" s="4">
        <v>0</v>
      </c>
      <c r="O4" s="4">
        <v>0</v>
      </c>
      <c r="P4" s="35">
        <f t="shared" si="4"/>
        <v>1</v>
      </c>
      <c r="Q4" s="4">
        <v>1</v>
      </c>
      <c r="R4" s="4">
        <v>0</v>
      </c>
      <c r="S4" s="4">
        <v>3</v>
      </c>
      <c r="T4" s="4">
        <v>3</v>
      </c>
      <c r="U4" s="4">
        <v>0</v>
      </c>
      <c r="V4" s="4">
        <v>0</v>
      </c>
      <c r="W4" s="4">
        <v>0</v>
      </c>
      <c r="X4" s="4">
        <v>0</v>
      </c>
      <c r="Y4" s="4">
        <v>0</v>
      </c>
      <c r="Z4" s="4">
        <v>0</v>
      </c>
      <c r="AA4" s="4">
        <v>0</v>
      </c>
      <c r="AB4" s="4">
        <v>0</v>
      </c>
      <c r="AC4" s="4">
        <v>0</v>
      </c>
      <c r="AD4" s="4">
        <v>0</v>
      </c>
      <c r="AE4" s="4">
        <v>0</v>
      </c>
    </row>
    <row r="5" spans="1:31" ht="29.25" customHeight="1">
      <c r="A5" s="2" t="e">
        <f>#REF!+1</f>
        <v>#REF!</v>
      </c>
      <c r="B5" s="35" t="s">
        <v>48</v>
      </c>
      <c r="C5" s="3"/>
      <c r="D5" s="11" t="s">
        <v>49</v>
      </c>
      <c r="E5" s="5"/>
      <c r="F5" s="5"/>
      <c r="G5" s="5">
        <v>44761.560081018521</v>
      </c>
      <c r="H5" s="10"/>
      <c r="I5" s="4"/>
      <c r="J5" s="4" t="s">
        <v>47</v>
      </c>
      <c r="L5" s="4">
        <f t="shared" si="2"/>
        <v>0</v>
      </c>
      <c r="M5" s="4">
        <f t="shared" si="3"/>
        <v>0</v>
      </c>
      <c r="N5" s="4">
        <v>0</v>
      </c>
      <c r="O5" s="4">
        <v>0</v>
      </c>
      <c r="P5" s="4">
        <f t="shared" si="4"/>
        <v>0</v>
      </c>
      <c r="Q5" s="4">
        <v>0</v>
      </c>
      <c r="R5" s="4">
        <v>0</v>
      </c>
      <c r="S5" s="4">
        <f t="shared" si="0"/>
        <v>0</v>
      </c>
      <c r="T5" s="4">
        <v>0</v>
      </c>
      <c r="U5" s="4">
        <v>0</v>
      </c>
      <c r="V5" s="4">
        <v>0</v>
      </c>
      <c r="W5" s="4">
        <v>0</v>
      </c>
      <c r="X5" s="4">
        <v>0</v>
      </c>
      <c r="Y5" s="4">
        <v>0</v>
      </c>
      <c r="Z5" s="4">
        <v>0</v>
      </c>
      <c r="AA5" s="4">
        <v>0</v>
      </c>
      <c r="AB5" s="4">
        <v>0</v>
      </c>
      <c r="AC5" s="4">
        <v>0</v>
      </c>
      <c r="AD5" s="4">
        <v>0</v>
      </c>
      <c r="AE5" s="4">
        <v>0</v>
      </c>
    </row>
    <row r="6" spans="1:31" ht="22.5" customHeight="1">
      <c r="A6" s="2" t="e">
        <f t="shared" ref="A6:A19" si="5">A5+1</f>
        <v>#REF!</v>
      </c>
      <c r="B6" s="35" t="s">
        <v>50</v>
      </c>
      <c r="C6" s="4" t="s">
        <v>51</v>
      </c>
      <c r="D6" s="12" t="s">
        <v>52</v>
      </c>
      <c r="E6" s="4" t="s">
        <v>53</v>
      </c>
      <c r="F6" s="4" t="s">
        <v>54</v>
      </c>
      <c r="G6" s="6">
        <v>44773</v>
      </c>
      <c r="H6" s="7">
        <v>46476</v>
      </c>
      <c r="I6" s="4" t="s">
        <v>29</v>
      </c>
      <c r="J6" s="4" t="s">
        <v>30</v>
      </c>
      <c r="K6" s="4" t="s">
        <v>55</v>
      </c>
      <c r="L6" s="4">
        <v>32</v>
      </c>
      <c r="M6" s="35">
        <v>13</v>
      </c>
      <c r="N6" s="4">
        <v>13</v>
      </c>
      <c r="O6" s="4">
        <v>0</v>
      </c>
      <c r="P6" s="35">
        <v>19</v>
      </c>
      <c r="Q6" s="4">
        <v>19</v>
      </c>
      <c r="R6" s="4">
        <v>0</v>
      </c>
      <c r="S6" s="4">
        <f t="shared" si="0"/>
        <v>4</v>
      </c>
      <c r="T6" s="4">
        <v>0</v>
      </c>
      <c r="U6" s="4">
        <v>4</v>
      </c>
      <c r="V6" s="35">
        <v>2</v>
      </c>
      <c r="W6" s="4">
        <v>0</v>
      </c>
      <c r="X6" s="4">
        <v>0</v>
      </c>
      <c r="Y6" s="4">
        <v>0</v>
      </c>
      <c r="Z6" s="4">
        <v>0</v>
      </c>
      <c r="AA6" s="4">
        <v>0</v>
      </c>
      <c r="AB6" s="4">
        <v>0</v>
      </c>
      <c r="AC6" s="4">
        <v>0</v>
      </c>
      <c r="AD6" s="4">
        <v>0</v>
      </c>
      <c r="AE6" s="4">
        <v>0</v>
      </c>
    </row>
    <row r="7" spans="1:31" ht="22.5" customHeight="1">
      <c r="A7" s="2" t="e">
        <f t="shared" si="5"/>
        <v>#REF!</v>
      </c>
      <c r="B7" s="35" t="s">
        <v>56</v>
      </c>
      <c r="C7" s="4" t="s">
        <v>38</v>
      </c>
      <c r="D7" s="14" t="s">
        <v>57</v>
      </c>
      <c r="E7" s="4" t="s">
        <v>58</v>
      </c>
      <c r="F7" s="4">
        <v>546121347</v>
      </c>
      <c r="G7" s="5">
        <v>44828.881331018521</v>
      </c>
      <c r="H7" s="10"/>
      <c r="I7" s="3" t="s">
        <v>36</v>
      </c>
      <c r="J7" s="4" t="s">
        <v>47</v>
      </c>
      <c r="K7" s="4" t="s">
        <v>40</v>
      </c>
      <c r="L7" s="4">
        <f t="shared" si="2"/>
        <v>0</v>
      </c>
      <c r="M7" s="4">
        <f t="shared" si="3"/>
        <v>0</v>
      </c>
      <c r="N7" s="4">
        <v>0</v>
      </c>
      <c r="O7" s="4">
        <v>0</v>
      </c>
      <c r="P7" s="4">
        <f t="shared" si="4"/>
        <v>0</v>
      </c>
      <c r="Q7" s="4">
        <v>0</v>
      </c>
      <c r="R7" s="4">
        <v>0</v>
      </c>
      <c r="S7" s="4">
        <f t="shared" si="0"/>
        <v>13</v>
      </c>
      <c r="T7" s="4">
        <v>0</v>
      </c>
      <c r="U7" s="4">
        <v>13</v>
      </c>
      <c r="V7" s="4">
        <v>0</v>
      </c>
      <c r="W7" s="4">
        <v>0</v>
      </c>
      <c r="X7" s="4">
        <v>0</v>
      </c>
      <c r="Y7" s="4">
        <v>0</v>
      </c>
      <c r="Z7" s="4">
        <v>0</v>
      </c>
      <c r="AA7" s="4">
        <v>0</v>
      </c>
      <c r="AB7" s="4">
        <v>0</v>
      </c>
      <c r="AC7" s="4">
        <v>0</v>
      </c>
      <c r="AD7" s="4">
        <v>0</v>
      </c>
      <c r="AE7" s="4">
        <v>0</v>
      </c>
    </row>
    <row r="8" spans="1:31" ht="22.5" customHeight="1">
      <c r="A8" s="2" t="e">
        <f t="shared" si="5"/>
        <v>#REF!</v>
      </c>
      <c r="B8" s="35" t="s">
        <v>59</v>
      </c>
      <c r="C8" s="4" t="s">
        <v>51</v>
      </c>
      <c r="D8" s="11" t="s">
        <v>60</v>
      </c>
      <c r="E8" s="3" t="s">
        <v>61</v>
      </c>
      <c r="F8" s="3">
        <v>567661942</v>
      </c>
      <c r="G8" s="5">
        <v>44837.861041666663</v>
      </c>
      <c r="H8" s="10">
        <v>45893</v>
      </c>
      <c r="I8" s="4" t="s">
        <v>29</v>
      </c>
      <c r="J8" s="4" t="s">
        <v>30</v>
      </c>
      <c r="K8" s="4" t="s">
        <v>62</v>
      </c>
      <c r="L8" s="4">
        <f t="shared" si="2"/>
        <v>3</v>
      </c>
      <c r="M8" s="35">
        <v>3</v>
      </c>
      <c r="N8" s="4">
        <v>3</v>
      </c>
      <c r="O8" s="4">
        <v>0</v>
      </c>
      <c r="P8" s="4">
        <f t="shared" si="4"/>
        <v>0</v>
      </c>
      <c r="Q8" s="4">
        <v>0</v>
      </c>
      <c r="R8" s="4">
        <v>0</v>
      </c>
      <c r="S8" s="4">
        <f t="shared" si="0"/>
        <v>0</v>
      </c>
      <c r="T8" s="4">
        <v>0</v>
      </c>
      <c r="U8" s="4">
        <v>0</v>
      </c>
      <c r="V8" s="4">
        <v>0</v>
      </c>
      <c r="W8" s="4">
        <v>0</v>
      </c>
      <c r="X8" s="4">
        <v>0</v>
      </c>
      <c r="Y8" s="4">
        <v>0</v>
      </c>
      <c r="Z8" s="4">
        <v>0</v>
      </c>
      <c r="AA8" s="4">
        <v>0</v>
      </c>
      <c r="AB8" s="4">
        <v>0</v>
      </c>
      <c r="AC8" s="4">
        <v>0</v>
      </c>
      <c r="AD8" s="4">
        <v>0</v>
      </c>
      <c r="AE8" s="4">
        <v>0</v>
      </c>
    </row>
    <row r="9" spans="1:31" ht="22.5" customHeight="1">
      <c r="A9" s="2" t="e">
        <f t="shared" si="5"/>
        <v>#REF!</v>
      </c>
      <c r="B9" s="35" t="s">
        <v>63</v>
      </c>
      <c r="C9" s="4" t="s">
        <v>42</v>
      </c>
      <c r="D9" s="11" t="s">
        <v>64</v>
      </c>
      <c r="E9" s="3" t="s">
        <v>65</v>
      </c>
      <c r="F9" s="3">
        <v>502690626</v>
      </c>
      <c r="G9" s="5">
        <v>44931.277766203704</v>
      </c>
      <c r="H9" s="7">
        <v>46429</v>
      </c>
      <c r="I9" s="3" t="s">
        <v>36</v>
      </c>
      <c r="J9" s="4" t="s">
        <v>30</v>
      </c>
      <c r="K9" s="4" t="s">
        <v>66</v>
      </c>
      <c r="L9" s="4">
        <v>21</v>
      </c>
      <c r="M9" s="35">
        <f t="shared" si="3"/>
        <v>5</v>
      </c>
      <c r="N9" s="4">
        <v>5</v>
      </c>
      <c r="O9" s="4">
        <v>0</v>
      </c>
      <c r="P9" s="35">
        <f t="shared" si="4"/>
        <v>6</v>
      </c>
      <c r="Q9" s="4">
        <v>6</v>
      </c>
      <c r="R9" s="4">
        <v>0</v>
      </c>
      <c r="S9" s="4">
        <f t="shared" si="0"/>
        <v>10</v>
      </c>
      <c r="T9" s="4">
        <v>9</v>
      </c>
      <c r="U9" s="4">
        <v>1</v>
      </c>
      <c r="V9" s="4">
        <v>0</v>
      </c>
      <c r="W9" s="4">
        <v>0</v>
      </c>
      <c r="X9" s="4">
        <v>0</v>
      </c>
      <c r="Y9" s="4">
        <v>0</v>
      </c>
      <c r="Z9" s="4">
        <v>0</v>
      </c>
      <c r="AA9" s="4">
        <v>0</v>
      </c>
      <c r="AB9" s="4">
        <v>0</v>
      </c>
      <c r="AC9" s="4">
        <v>0</v>
      </c>
      <c r="AD9" s="4">
        <v>0</v>
      </c>
      <c r="AE9" s="4">
        <v>0</v>
      </c>
    </row>
    <row r="10" spans="1:31" ht="22.5" customHeight="1">
      <c r="A10" s="2" t="e">
        <f t="shared" si="5"/>
        <v>#REF!</v>
      </c>
      <c r="B10" s="35" t="s">
        <v>67</v>
      </c>
      <c r="C10" s="4" t="s">
        <v>38</v>
      </c>
      <c r="D10" s="3" t="s">
        <v>68</v>
      </c>
      <c r="E10" s="3" t="s">
        <v>69</v>
      </c>
      <c r="F10" s="15">
        <v>538183989</v>
      </c>
      <c r="G10" s="5">
        <v>44945.339780092596</v>
      </c>
      <c r="H10" s="7">
        <v>46040</v>
      </c>
      <c r="I10" s="3" t="s">
        <v>36</v>
      </c>
      <c r="J10" s="4" t="s">
        <v>47</v>
      </c>
      <c r="K10" s="4" t="s">
        <v>70</v>
      </c>
      <c r="L10" s="4">
        <f t="shared" si="2"/>
        <v>0</v>
      </c>
      <c r="M10" s="4">
        <f t="shared" si="3"/>
        <v>0</v>
      </c>
      <c r="N10" s="4">
        <v>0</v>
      </c>
      <c r="O10" s="4">
        <v>0</v>
      </c>
      <c r="P10" s="4">
        <f t="shared" si="4"/>
        <v>0</v>
      </c>
      <c r="Q10" s="4">
        <v>0</v>
      </c>
      <c r="R10" s="4">
        <v>0</v>
      </c>
      <c r="S10" s="4">
        <f t="shared" si="0"/>
        <v>4</v>
      </c>
      <c r="T10" s="4">
        <v>0</v>
      </c>
      <c r="U10" s="4">
        <v>4</v>
      </c>
      <c r="V10" s="4">
        <v>0</v>
      </c>
      <c r="W10" s="4">
        <v>0</v>
      </c>
      <c r="X10" s="4">
        <v>0</v>
      </c>
      <c r="Y10" s="4">
        <v>0</v>
      </c>
      <c r="Z10" s="4">
        <v>0</v>
      </c>
      <c r="AA10" s="4">
        <v>0</v>
      </c>
      <c r="AB10" s="4">
        <v>0</v>
      </c>
      <c r="AC10" s="4">
        <v>0</v>
      </c>
      <c r="AD10" s="4">
        <v>0</v>
      </c>
      <c r="AE10" s="4">
        <v>0</v>
      </c>
    </row>
    <row r="11" spans="1:31" ht="22.5" customHeight="1">
      <c r="A11" s="2" t="e">
        <f t="shared" si="5"/>
        <v>#REF!</v>
      </c>
      <c r="B11" s="35" t="s">
        <v>71</v>
      </c>
      <c r="C11" s="4" t="s">
        <v>24</v>
      </c>
      <c r="D11" s="12" t="s">
        <v>72</v>
      </c>
      <c r="E11" s="4" t="s">
        <v>73</v>
      </c>
      <c r="F11" s="4" t="s">
        <v>74</v>
      </c>
      <c r="G11" s="6">
        <v>44957.197488425925</v>
      </c>
      <c r="H11" s="7">
        <v>46447</v>
      </c>
      <c r="I11" s="3" t="s">
        <v>36</v>
      </c>
      <c r="J11" s="4" t="s">
        <v>30</v>
      </c>
      <c r="K11" s="4" t="s">
        <v>75</v>
      </c>
      <c r="L11" s="4">
        <v>14</v>
      </c>
      <c r="M11" s="35">
        <v>6</v>
      </c>
      <c r="N11" s="4">
        <v>3</v>
      </c>
      <c r="O11" s="4">
        <v>3</v>
      </c>
      <c r="P11" s="4">
        <f t="shared" si="4"/>
        <v>0</v>
      </c>
      <c r="Q11" s="4">
        <v>0</v>
      </c>
      <c r="R11" s="4">
        <v>0</v>
      </c>
      <c r="S11" s="4">
        <f t="shared" si="0"/>
        <v>0</v>
      </c>
      <c r="T11" s="4">
        <v>0</v>
      </c>
      <c r="U11" s="4">
        <v>0</v>
      </c>
      <c r="V11" s="4">
        <v>0</v>
      </c>
      <c r="W11" s="4">
        <v>0</v>
      </c>
      <c r="X11" s="4">
        <v>0</v>
      </c>
      <c r="Y11" s="4">
        <v>0</v>
      </c>
      <c r="Z11" s="4">
        <v>0</v>
      </c>
      <c r="AA11" s="4">
        <v>0</v>
      </c>
      <c r="AB11" s="35">
        <v>8</v>
      </c>
      <c r="AC11" s="4">
        <v>0</v>
      </c>
      <c r="AD11" s="4">
        <v>0</v>
      </c>
      <c r="AE11" s="4">
        <v>0</v>
      </c>
    </row>
    <row r="12" spans="1:31" ht="22.5" customHeight="1">
      <c r="A12" s="2" t="e">
        <f t="shared" si="5"/>
        <v>#REF!</v>
      </c>
      <c r="B12" s="35" t="s">
        <v>76</v>
      </c>
      <c r="C12" s="4" t="s">
        <v>42</v>
      </c>
      <c r="D12" s="12" t="s">
        <v>77</v>
      </c>
      <c r="E12" s="4" t="s">
        <v>78</v>
      </c>
      <c r="F12" s="4" t="s">
        <v>79</v>
      </c>
      <c r="G12" s="6">
        <v>45081.881006944444</v>
      </c>
      <c r="H12" s="7">
        <v>45958</v>
      </c>
      <c r="I12" s="4" t="s">
        <v>29</v>
      </c>
      <c r="J12" s="4" t="s">
        <v>30</v>
      </c>
      <c r="L12" s="4">
        <v>13</v>
      </c>
      <c r="M12" s="35">
        <f t="shared" si="3"/>
        <v>3</v>
      </c>
      <c r="N12" s="4">
        <v>3</v>
      </c>
      <c r="O12" s="4">
        <v>0</v>
      </c>
      <c r="P12" s="35">
        <f t="shared" si="4"/>
        <v>4</v>
      </c>
      <c r="Q12" s="4">
        <v>4</v>
      </c>
      <c r="R12" s="4">
        <v>0</v>
      </c>
      <c r="S12" s="4">
        <v>6</v>
      </c>
      <c r="T12" s="4">
        <v>6</v>
      </c>
      <c r="U12" s="4">
        <v>0</v>
      </c>
      <c r="V12" s="4">
        <v>0</v>
      </c>
      <c r="W12" s="4">
        <v>0</v>
      </c>
      <c r="X12" s="4">
        <v>0</v>
      </c>
      <c r="Y12" s="4">
        <v>0</v>
      </c>
      <c r="Z12" s="4">
        <v>0</v>
      </c>
      <c r="AA12" s="4">
        <v>0</v>
      </c>
      <c r="AB12" s="4">
        <v>0</v>
      </c>
      <c r="AC12" s="4">
        <v>0</v>
      </c>
      <c r="AD12" s="4">
        <v>0</v>
      </c>
      <c r="AE12" s="4">
        <v>0</v>
      </c>
    </row>
    <row r="13" spans="1:31" ht="22.5" customHeight="1">
      <c r="A13" s="2" t="e">
        <f>#REF!+1</f>
        <v>#REF!</v>
      </c>
      <c r="B13" s="35" t="s">
        <v>80</v>
      </c>
      <c r="C13" s="4" t="s">
        <v>42</v>
      </c>
      <c r="D13" s="3" t="s">
        <v>81</v>
      </c>
      <c r="E13" s="16" t="s">
        <v>82</v>
      </c>
      <c r="F13" s="4" t="s">
        <v>83</v>
      </c>
      <c r="G13" s="5">
        <v>45200.881006944444</v>
      </c>
      <c r="H13" s="7">
        <v>46250</v>
      </c>
      <c r="I13" s="3" t="s">
        <v>36</v>
      </c>
      <c r="J13" s="4" t="s">
        <v>30</v>
      </c>
      <c r="K13" s="4" t="s">
        <v>46</v>
      </c>
      <c r="L13" s="4">
        <f t="shared" si="2"/>
        <v>13</v>
      </c>
      <c r="M13" s="35">
        <f t="shared" si="3"/>
        <v>1</v>
      </c>
      <c r="N13" s="4">
        <v>1</v>
      </c>
      <c r="O13" s="4">
        <v>0</v>
      </c>
      <c r="P13" s="35">
        <f t="shared" si="4"/>
        <v>1</v>
      </c>
      <c r="Q13" s="4">
        <v>1</v>
      </c>
      <c r="R13" s="4">
        <v>0</v>
      </c>
      <c r="S13" s="4">
        <f t="shared" si="0"/>
        <v>11</v>
      </c>
      <c r="T13" s="4">
        <v>11</v>
      </c>
      <c r="U13" s="4">
        <v>0</v>
      </c>
      <c r="V13" s="4">
        <v>0</v>
      </c>
      <c r="W13" s="4">
        <v>0</v>
      </c>
      <c r="X13" s="4">
        <v>0</v>
      </c>
      <c r="Y13" s="4">
        <v>0</v>
      </c>
      <c r="Z13" s="4">
        <v>0</v>
      </c>
      <c r="AA13" s="4">
        <v>0</v>
      </c>
      <c r="AB13" s="4">
        <v>0</v>
      </c>
      <c r="AC13" s="4">
        <v>0</v>
      </c>
      <c r="AD13" s="4">
        <v>0</v>
      </c>
      <c r="AE13" s="4">
        <v>0</v>
      </c>
    </row>
    <row r="14" spans="1:31" ht="22.5" customHeight="1">
      <c r="A14" s="2" t="e">
        <f t="shared" si="5"/>
        <v>#REF!</v>
      </c>
      <c r="B14" s="35" t="s">
        <v>84</v>
      </c>
      <c r="C14" s="4" t="s">
        <v>42</v>
      </c>
      <c r="D14" s="14" t="s">
        <v>85</v>
      </c>
      <c r="E14" s="4" t="s">
        <v>86</v>
      </c>
      <c r="F14" s="13">
        <v>510279860</v>
      </c>
      <c r="G14" s="5">
        <v>45180.881006944444</v>
      </c>
      <c r="H14" s="7">
        <v>46269</v>
      </c>
      <c r="I14" s="3" t="s">
        <v>36</v>
      </c>
      <c r="J14" s="4" t="s">
        <v>30</v>
      </c>
      <c r="K14" s="4" t="s">
        <v>87</v>
      </c>
      <c r="L14" s="4">
        <f t="shared" si="2"/>
        <v>13</v>
      </c>
      <c r="M14" s="35">
        <f t="shared" si="3"/>
        <v>1</v>
      </c>
      <c r="N14" s="4">
        <v>1</v>
      </c>
      <c r="O14" s="4">
        <v>0</v>
      </c>
      <c r="P14" s="35">
        <f t="shared" si="4"/>
        <v>1</v>
      </c>
      <c r="Q14" s="4">
        <v>1</v>
      </c>
      <c r="R14" s="4">
        <v>0</v>
      </c>
      <c r="S14" s="4">
        <f t="shared" si="0"/>
        <v>11</v>
      </c>
      <c r="T14" s="4">
        <v>11</v>
      </c>
      <c r="U14" s="4">
        <v>0</v>
      </c>
      <c r="V14" s="4">
        <v>0</v>
      </c>
      <c r="W14" s="4">
        <v>0</v>
      </c>
      <c r="X14" s="4">
        <v>0</v>
      </c>
      <c r="Y14" s="4">
        <v>0</v>
      </c>
      <c r="Z14" s="4">
        <v>0</v>
      </c>
      <c r="AA14" s="4">
        <v>0</v>
      </c>
      <c r="AB14" s="4">
        <v>0</v>
      </c>
      <c r="AC14" s="4">
        <v>0</v>
      </c>
      <c r="AD14" s="4">
        <v>0</v>
      </c>
      <c r="AE14" s="4">
        <v>0</v>
      </c>
    </row>
    <row r="15" spans="1:31" ht="22.5" customHeight="1">
      <c r="A15" s="2" t="e">
        <f t="shared" si="5"/>
        <v>#REF!</v>
      </c>
      <c r="B15" s="35" t="s">
        <v>88</v>
      </c>
      <c r="C15" s="4" t="s">
        <v>42</v>
      </c>
      <c r="D15" s="14" t="s">
        <v>89</v>
      </c>
      <c r="E15" s="3" t="s">
        <v>65</v>
      </c>
      <c r="F15" s="3">
        <v>502690626</v>
      </c>
      <c r="G15" s="5">
        <v>44823.074097222219</v>
      </c>
      <c r="H15" s="7">
        <v>46280</v>
      </c>
      <c r="I15" s="4" t="s">
        <v>36</v>
      </c>
      <c r="J15" s="4" t="s">
        <v>30</v>
      </c>
      <c r="K15" s="4" t="s">
        <v>90</v>
      </c>
      <c r="L15" s="4">
        <f t="shared" si="2"/>
        <v>13</v>
      </c>
      <c r="M15" s="35">
        <f t="shared" si="3"/>
        <v>3</v>
      </c>
      <c r="N15" s="4">
        <v>3</v>
      </c>
      <c r="O15" s="4">
        <v>0</v>
      </c>
      <c r="P15" s="35">
        <f t="shared" si="4"/>
        <v>3</v>
      </c>
      <c r="Q15" s="4">
        <v>3</v>
      </c>
      <c r="R15" s="4">
        <v>0</v>
      </c>
      <c r="S15" s="4">
        <f t="shared" si="0"/>
        <v>8</v>
      </c>
      <c r="T15" s="4">
        <v>7</v>
      </c>
      <c r="U15" s="4">
        <v>1</v>
      </c>
      <c r="V15" s="4">
        <v>0</v>
      </c>
      <c r="W15" s="4">
        <v>0</v>
      </c>
      <c r="X15" s="4">
        <v>0</v>
      </c>
      <c r="Y15" s="4">
        <v>0</v>
      </c>
      <c r="Z15" s="4">
        <v>0</v>
      </c>
      <c r="AA15" s="4">
        <v>0</v>
      </c>
      <c r="AB15" s="4">
        <v>0</v>
      </c>
      <c r="AC15" s="4">
        <v>0</v>
      </c>
      <c r="AD15" s="4">
        <v>0</v>
      </c>
      <c r="AE15" s="4">
        <v>0</v>
      </c>
    </row>
    <row r="16" spans="1:31" ht="15.75" customHeight="1">
      <c r="A16" s="2" t="e">
        <f t="shared" si="5"/>
        <v>#REF!</v>
      </c>
      <c r="B16" s="35" t="s">
        <v>91</v>
      </c>
      <c r="C16" s="4" t="s">
        <v>42</v>
      </c>
      <c r="D16" s="12" t="s">
        <v>92</v>
      </c>
      <c r="E16" s="4" t="s">
        <v>93</v>
      </c>
      <c r="F16" s="4" t="s">
        <v>94</v>
      </c>
      <c r="G16" s="5">
        <v>45081.881006944444</v>
      </c>
      <c r="H16" s="7">
        <v>46015</v>
      </c>
      <c r="I16" s="3" t="s">
        <v>36</v>
      </c>
      <c r="J16" s="4" t="s">
        <v>47</v>
      </c>
      <c r="K16" s="4" t="s">
        <v>95</v>
      </c>
      <c r="L16" s="4">
        <v>22</v>
      </c>
      <c r="M16" s="4">
        <f t="shared" si="3"/>
        <v>2</v>
      </c>
      <c r="N16" s="4">
        <v>2</v>
      </c>
      <c r="O16" s="4">
        <v>0</v>
      </c>
      <c r="P16" s="4">
        <f t="shared" si="4"/>
        <v>8</v>
      </c>
      <c r="Q16" s="4">
        <v>8</v>
      </c>
      <c r="R16" s="4">
        <v>0</v>
      </c>
      <c r="S16" s="4">
        <f t="shared" si="0"/>
        <v>12</v>
      </c>
      <c r="T16" s="4">
        <v>10</v>
      </c>
      <c r="U16" s="4">
        <v>2</v>
      </c>
      <c r="V16" s="4">
        <v>0</v>
      </c>
      <c r="W16" s="4">
        <v>0</v>
      </c>
      <c r="X16" s="4">
        <v>0</v>
      </c>
      <c r="Y16" s="4">
        <v>0</v>
      </c>
      <c r="Z16" s="4">
        <v>0</v>
      </c>
      <c r="AA16" s="4">
        <v>0</v>
      </c>
      <c r="AB16" s="4">
        <v>0</v>
      </c>
      <c r="AC16" s="4">
        <v>0</v>
      </c>
      <c r="AD16" s="4">
        <v>0</v>
      </c>
      <c r="AE16" s="4">
        <v>0</v>
      </c>
    </row>
    <row r="17" spans="1:31" ht="15.75" customHeight="1">
      <c r="A17" s="2" t="e">
        <f>#REF!+1</f>
        <v>#REF!</v>
      </c>
      <c r="B17" s="35" t="s">
        <v>96</v>
      </c>
      <c r="C17" s="4" t="s">
        <v>97</v>
      </c>
      <c r="D17" s="12" t="s">
        <v>98</v>
      </c>
      <c r="E17" s="4" t="s">
        <v>99</v>
      </c>
      <c r="F17" s="4" t="s">
        <v>100</v>
      </c>
      <c r="G17" s="5">
        <v>44947</v>
      </c>
      <c r="H17" s="7">
        <v>46408</v>
      </c>
      <c r="I17" s="4" t="s">
        <v>36</v>
      </c>
      <c r="J17" s="4" t="s">
        <v>30</v>
      </c>
      <c r="K17" s="4" t="s">
        <v>46</v>
      </c>
      <c r="L17" s="4">
        <f t="shared" si="2"/>
        <v>1</v>
      </c>
      <c r="M17" s="4">
        <f t="shared" si="3"/>
        <v>0</v>
      </c>
      <c r="N17" s="4">
        <v>0</v>
      </c>
      <c r="O17" s="4">
        <v>0</v>
      </c>
      <c r="P17" s="35">
        <f t="shared" si="4"/>
        <v>1</v>
      </c>
      <c r="Q17" s="4">
        <v>1</v>
      </c>
      <c r="R17" s="4">
        <v>0</v>
      </c>
      <c r="S17" s="4">
        <f t="shared" si="0"/>
        <v>0</v>
      </c>
      <c r="T17" s="4">
        <v>0</v>
      </c>
      <c r="U17" s="4">
        <v>0</v>
      </c>
      <c r="V17" s="4">
        <v>0</v>
      </c>
      <c r="W17" s="4">
        <v>0</v>
      </c>
      <c r="X17" s="4">
        <v>0</v>
      </c>
      <c r="Y17" s="4">
        <v>0</v>
      </c>
      <c r="Z17" s="4">
        <v>0</v>
      </c>
      <c r="AA17" s="4">
        <v>0</v>
      </c>
      <c r="AB17" s="4">
        <v>0</v>
      </c>
      <c r="AC17" s="4">
        <v>0</v>
      </c>
      <c r="AD17" s="4">
        <v>0</v>
      </c>
      <c r="AE17" s="4">
        <v>0</v>
      </c>
    </row>
    <row r="18" spans="1:31" ht="15.75" customHeight="1">
      <c r="A18" s="18" t="e">
        <f t="shared" si="5"/>
        <v>#REF!</v>
      </c>
      <c r="B18" s="35" t="s">
        <v>101</v>
      </c>
      <c r="C18" s="4" t="s">
        <v>51</v>
      </c>
      <c r="D18" s="19" t="s">
        <v>102</v>
      </c>
      <c r="E18" s="4" t="s">
        <v>103</v>
      </c>
      <c r="F18" s="4">
        <v>504655947</v>
      </c>
      <c r="G18" s="6">
        <v>45319</v>
      </c>
      <c r="H18" s="7">
        <v>46064</v>
      </c>
      <c r="I18" s="4" t="s">
        <v>36</v>
      </c>
      <c r="J18" s="4" t="s">
        <v>47</v>
      </c>
      <c r="K18" s="4" t="s">
        <v>104</v>
      </c>
      <c r="L18" s="4">
        <f t="shared" si="2"/>
        <v>19</v>
      </c>
      <c r="M18" s="4">
        <f t="shared" si="3"/>
        <v>0</v>
      </c>
      <c r="N18" s="4">
        <v>0</v>
      </c>
      <c r="O18" s="4">
        <v>0</v>
      </c>
      <c r="P18" s="4">
        <f t="shared" si="4"/>
        <v>0</v>
      </c>
      <c r="Q18" s="4">
        <v>0</v>
      </c>
      <c r="R18" s="4">
        <v>0</v>
      </c>
      <c r="S18" s="4">
        <f t="shared" si="0"/>
        <v>0</v>
      </c>
      <c r="T18" s="4">
        <v>0</v>
      </c>
      <c r="U18" s="4">
        <v>0</v>
      </c>
      <c r="V18" s="35">
        <v>19</v>
      </c>
      <c r="W18" s="4">
        <v>0</v>
      </c>
      <c r="X18" s="4">
        <v>0</v>
      </c>
      <c r="Y18" s="4">
        <v>0</v>
      </c>
      <c r="Z18" s="4">
        <v>0</v>
      </c>
      <c r="AA18" s="4">
        <v>0</v>
      </c>
      <c r="AB18" s="4">
        <v>0</v>
      </c>
      <c r="AC18" s="4">
        <v>0</v>
      </c>
      <c r="AD18" s="4">
        <v>0</v>
      </c>
      <c r="AE18" s="4">
        <v>0</v>
      </c>
    </row>
    <row r="19" spans="1:31" ht="15.75" customHeight="1">
      <c r="A19" s="17" t="e">
        <f t="shared" si="5"/>
        <v>#REF!</v>
      </c>
      <c r="B19" s="4" t="s">
        <v>105</v>
      </c>
      <c r="C19" s="4" t="s">
        <v>51</v>
      </c>
      <c r="D19" s="19" t="s">
        <v>106</v>
      </c>
      <c r="E19" s="4" t="s">
        <v>107</v>
      </c>
      <c r="F19" s="4">
        <v>533136466</v>
      </c>
      <c r="G19" s="5">
        <v>44619</v>
      </c>
      <c r="H19" s="7">
        <v>44619</v>
      </c>
      <c r="I19" s="4" t="s">
        <v>36</v>
      </c>
      <c r="J19" s="4" t="s">
        <v>47</v>
      </c>
      <c r="K19" s="4" t="s">
        <v>46</v>
      </c>
      <c r="L19" s="4">
        <f t="shared" si="2"/>
        <v>0</v>
      </c>
      <c r="M19" s="4">
        <f t="shared" si="3"/>
        <v>0</v>
      </c>
      <c r="N19" s="4">
        <v>0</v>
      </c>
      <c r="O19" s="4">
        <v>0</v>
      </c>
      <c r="P19" s="4">
        <f t="shared" si="4"/>
        <v>0</v>
      </c>
      <c r="Q19" s="4">
        <v>0</v>
      </c>
      <c r="R19" s="4">
        <v>0</v>
      </c>
      <c r="S19" s="4">
        <f t="shared" si="0"/>
        <v>1</v>
      </c>
      <c r="T19" s="4">
        <v>0</v>
      </c>
      <c r="U19" s="4">
        <v>1</v>
      </c>
      <c r="V19" s="4">
        <v>0</v>
      </c>
      <c r="W19" s="4">
        <v>0</v>
      </c>
      <c r="X19" s="4">
        <v>0</v>
      </c>
      <c r="Y19" s="4">
        <v>0</v>
      </c>
      <c r="Z19" s="4">
        <v>0</v>
      </c>
      <c r="AA19" s="4">
        <v>0</v>
      </c>
      <c r="AB19" s="4">
        <v>0</v>
      </c>
      <c r="AC19" s="4">
        <v>0</v>
      </c>
      <c r="AD19" s="4">
        <v>0</v>
      </c>
      <c r="AE19" s="4">
        <v>0</v>
      </c>
    </row>
    <row r="20" spans="1:31" ht="15.75" customHeight="1">
      <c r="A20" s="2">
        <v>2</v>
      </c>
      <c r="B20" s="35" t="s">
        <v>108</v>
      </c>
      <c r="C20" s="4" t="s">
        <v>42</v>
      </c>
      <c r="D20" s="12" t="s">
        <v>109</v>
      </c>
      <c r="E20" s="4" t="s">
        <v>110</v>
      </c>
      <c r="F20" s="4" t="s">
        <v>111</v>
      </c>
      <c r="G20" s="5">
        <v>44304.541620370372</v>
      </c>
      <c r="H20" s="10">
        <v>46112</v>
      </c>
      <c r="I20" s="4" t="s">
        <v>36</v>
      </c>
      <c r="J20" s="4" t="s">
        <v>30</v>
      </c>
      <c r="K20" s="4" t="s">
        <v>112</v>
      </c>
      <c r="L20" s="4">
        <f t="shared" si="2"/>
        <v>39</v>
      </c>
      <c r="M20" s="35">
        <f t="shared" si="3"/>
        <v>9</v>
      </c>
      <c r="N20" s="4">
        <v>9</v>
      </c>
      <c r="O20" s="4">
        <v>0</v>
      </c>
      <c r="P20" s="35">
        <f t="shared" si="4"/>
        <v>13</v>
      </c>
      <c r="Q20" s="4">
        <v>13</v>
      </c>
      <c r="R20" s="4">
        <v>0</v>
      </c>
      <c r="S20" s="4">
        <v>62</v>
      </c>
      <c r="T20" s="4">
        <v>17</v>
      </c>
      <c r="U20" s="4">
        <v>45</v>
      </c>
      <c r="V20" s="4">
        <v>0</v>
      </c>
      <c r="W20" s="4">
        <v>0</v>
      </c>
      <c r="X20" s="4">
        <v>0</v>
      </c>
      <c r="Y20" s="4">
        <v>0</v>
      </c>
      <c r="Z20" s="4">
        <v>0</v>
      </c>
      <c r="AA20" s="4">
        <v>0</v>
      </c>
      <c r="AB20" s="4">
        <v>0</v>
      </c>
      <c r="AC20" s="4">
        <v>0</v>
      </c>
      <c r="AD20" s="4">
        <v>0</v>
      </c>
      <c r="AE20" s="4">
        <v>0</v>
      </c>
    </row>
    <row r="21" spans="1:31" ht="16.5" customHeight="1">
      <c r="A21" s="18">
        <f t="shared" ref="A21:A64" si="6">A20+1</f>
        <v>3</v>
      </c>
      <c r="B21" s="37" t="s">
        <v>113</v>
      </c>
      <c r="C21" s="4" t="s">
        <v>114</v>
      </c>
      <c r="D21" s="12" t="s">
        <v>115</v>
      </c>
      <c r="E21" s="4" t="s">
        <v>62</v>
      </c>
      <c r="F21" s="4" t="s">
        <v>62</v>
      </c>
      <c r="G21" s="5">
        <v>44607.100856481484</v>
      </c>
      <c r="H21" s="7">
        <v>46317</v>
      </c>
      <c r="I21" s="4" t="s">
        <v>116</v>
      </c>
      <c r="J21" s="4" t="s">
        <v>30</v>
      </c>
      <c r="L21" s="4">
        <f t="shared" si="2"/>
        <v>1</v>
      </c>
      <c r="M21" s="35">
        <v>1</v>
      </c>
      <c r="N21" s="4">
        <v>1</v>
      </c>
      <c r="O21" s="4">
        <v>0</v>
      </c>
      <c r="P21" s="4">
        <f t="shared" si="4"/>
        <v>0</v>
      </c>
      <c r="Q21" s="4">
        <v>0</v>
      </c>
      <c r="R21" s="4">
        <v>0</v>
      </c>
      <c r="S21" s="4">
        <f t="shared" si="0"/>
        <v>0</v>
      </c>
      <c r="T21" s="4">
        <v>0</v>
      </c>
      <c r="U21" s="4">
        <v>0</v>
      </c>
      <c r="V21" s="4">
        <v>0</v>
      </c>
      <c r="W21" s="4">
        <v>0</v>
      </c>
      <c r="X21" s="4">
        <v>0</v>
      </c>
      <c r="Y21" s="4">
        <v>0</v>
      </c>
      <c r="Z21" s="4">
        <v>0</v>
      </c>
      <c r="AA21" s="4">
        <v>0</v>
      </c>
      <c r="AB21" s="4">
        <v>0</v>
      </c>
      <c r="AC21" s="4">
        <v>0</v>
      </c>
      <c r="AD21" s="4">
        <v>0</v>
      </c>
      <c r="AE21" s="4">
        <v>0</v>
      </c>
    </row>
    <row r="22" spans="1:31" ht="15.75" customHeight="1">
      <c r="A22" s="18" t="e">
        <f>#REF!+1</f>
        <v>#REF!</v>
      </c>
      <c r="B22" s="35" t="s">
        <v>118</v>
      </c>
      <c r="C22" s="4" t="s">
        <v>42</v>
      </c>
      <c r="D22" s="12" t="s">
        <v>119</v>
      </c>
      <c r="E22" s="4" t="s">
        <v>120</v>
      </c>
      <c r="F22" s="4" t="s">
        <v>121</v>
      </c>
      <c r="G22" s="5">
        <v>45537.025891203702</v>
      </c>
      <c r="H22" s="7">
        <v>46478</v>
      </c>
      <c r="I22" s="4" t="s">
        <v>36</v>
      </c>
      <c r="J22" s="4" t="s">
        <v>30</v>
      </c>
      <c r="K22" s="4" t="s">
        <v>46</v>
      </c>
      <c r="L22" s="4">
        <f t="shared" si="2"/>
        <v>40</v>
      </c>
      <c r="M22" s="35">
        <v>9</v>
      </c>
      <c r="N22" s="4">
        <v>6</v>
      </c>
      <c r="O22" s="4">
        <v>3</v>
      </c>
      <c r="P22" s="35">
        <v>18</v>
      </c>
      <c r="Q22" s="4">
        <v>16</v>
      </c>
      <c r="R22" s="4">
        <v>2</v>
      </c>
      <c r="S22" s="4">
        <f t="shared" si="0"/>
        <v>45</v>
      </c>
      <c r="T22" s="4">
        <v>18</v>
      </c>
      <c r="U22" s="4">
        <v>27</v>
      </c>
      <c r="V22" s="4">
        <v>0</v>
      </c>
      <c r="W22" s="4">
        <v>0</v>
      </c>
      <c r="X22" s="4">
        <v>0</v>
      </c>
      <c r="Y22" s="4">
        <v>0</v>
      </c>
      <c r="Z22" s="4">
        <v>0</v>
      </c>
      <c r="AA22" s="4">
        <v>0</v>
      </c>
      <c r="AB22" s="4">
        <v>0</v>
      </c>
      <c r="AC22" s="4">
        <v>0</v>
      </c>
      <c r="AD22" s="4">
        <v>0</v>
      </c>
      <c r="AE22" s="4">
        <v>0</v>
      </c>
    </row>
    <row r="23" spans="1:31" ht="15.75" customHeight="1">
      <c r="A23" s="18" t="e">
        <f>#REF!+1</f>
        <v>#REF!</v>
      </c>
      <c r="B23" s="36" t="s">
        <v>122</v>
      </c>
      <c r="C23" s="4" t="s">
        <v>42</v>
      </c>
      <c r="D23" s="3" t="s">
        <v>123</v>
      </c>
      <c r="E23" s="4" t="s">
        <v>124</v>
      </c>
      <c r="F23" s="4" t="s">
        <v>125</v>
      </c>
      <c r="G23" s="5">
        <v>44304.541620370372</v>
      </c>
      <c r="H23" s="10">
        <v>45844</v>
      </c>
      <c r="I23" s="4" t="s">
        <v>29</v>
      </c>
      <c r="J23" s="4" t="s">
        <v>47</v>
      </c>
      <c r="L23" s="4">
        <f t="shared" si="2"/>
        <v>0</v>
      </c>
      <c r="M23" s="4">
        <f t="shared" si="3"/>
        <v>0</v>
      </c>
      <c r="N23" s="4">
        <v>0</v>
      </c>
      <c r="O23" s="4">
        <v>0</v>
      </c>
      <c r="P23" s="4">
        <f t="shared" si="4"/>
        <v>0</v>
      </c>
      <c r="Q23" s="4">
        <v>0</v>
      </c>
      <c r="R23" s="4">
        <v>0</v>
      </c>
      <c r="S23" s="4">
        <f t="shared" si="0"/>
        <v>2</v>
      </c>
      <c r="T23" s="4">
        <v>0</v>
      </c>
      <c r="U23" s="4">
        <v>2</v>
      </c>
      <c r="V23" s="4">
        <v>0</v>
      </c>
      <c r="W23" s="4">
        <v>0</v>
      </c>
      <c r="X23" s="4">
        <v>0</v>
      </c>
      <c r="Y23" s="4">
        <v>0</v>
      </c>
      <c r="Z23" s="4">
        <v>0</v>
      </c>
      <c r="AA23" s="4">
        <v>0</v>
      </c>
      <c r="AB23" s="4">
        <v>0</v>
      </c>
      <c r="AC23" s="4">
        <v>0</v>
      </c>
      <c r="AD23" s="4">
        <v>0</v>
      </c>
      <c r="AE23" s="4">
        <v>0</v>
      </c>
    </row>
    <row r="24" spans="1:31" ht="15.75" customHeight="1">
      <c r="A24" s="18" t="e">
        <f t="shared" si="6"/>
        <v>#REF!</v>
      </c>
      <c r="B24" s="35" t="s">
        <v>126</v>
      </c>
      <c r="C24" s="4" t="s">
        <v>42</v>
      </c>
      <c r="D24" s="12" t="s">
        <v>127</v>
      </c>
      <c r="E24" s="4" t="s">
        <v>128</v>
      </c>
      <c r="F24" s="3" t="s">
        <v>129</v>
      </c>
      <c r="G24" s="5">
        <v>45526.541620370372</v>
      </c>
      <c r="H24" s="7">
        <v>46244</v>
      </c>
      <c r="I24" s="4" t="s">
        <v>29</v>
      </c>
      <c r="J24" s="4" t="s">
        <v>30</v>
      </c>
      <c r="K24" s="4" t="s">
        <v>130</v>
      </c>
      <c r="L24" s="4">
        <v>15</v>
      </c>
      <c r="M24" s="4">
        <v>0</v>
      </c>
      <c r="N24" s="4">
        <v>0</v>
      </c>
      <c r="O24" s="4">
        <v>0</v>
      </c>
      <c r="P24" s="35">
        <v>5</v>
      </c>
      <c r="Q24" s="1">
        <v>4</v>
      </c>
      <c r="R24" s="4">
        <v>1</v>
      </c>
      <c r="S24" s="4">
        <f t="shared" si="0"/>
        <v>10</v>
      </c>
      <c r="T24" s="4">
        <v>10</v>
      </c>
      <c r="U24" s="4">
        <v>0</v>
      </c>
      <c r="V24" s="4">
        <v>0</v>
      </c>
      <c r="W24" s="4">
        <v>0</v>
      </c>
      <c r="X24" s="4">
        <v>0</v>
      </c>
      <c r="Y24" s="4">
        <v>0</v>
      </c>
      <c r="Z24" s="4">
        <v>0</v>
      </c>
      <c r="AA24" s="4">
        <v>0</v>
      </c>
      <c r="AB24" s="4">
        <v>0</v>
      </c>
      <c r="AC24" s="4">
        <v>0</v>
      </c>
      <c r="AD24" s="4">
        <v>0</v>
      </c>
      <c r="AE24" s="4">
        <v>0</v>
      </c>
    </row>
    <row r="25" spans="1:31" ht="15.75" customHeight="1">
      <c r="A25" s="18" t="e">
        <f t="shared" si="6"/>
        <v>#REF!</v>
      </c>
      <c r="B25" s="36" t="s">
        <v>131</v>
      </c>
      <c r="C25" s="4" t="s">
        <v>38</v>
      </c>
      <c r="D25" s="12" t="s">
        <v>132</v>
      </c>
      <c r="E25" s="3" t="s">
        <v>133</v>
      </c>
      <c r="F25" s="3" t="s">
        <v>134</v>
      </c>
      <c r="G25" s="6">
        <v>45765.541620370372</v>
      </c>
      <c r="H25" s="7">
        <v>46248</v>
      </c>
      <c r="I25" s="4" t="s">
        <v>116</v>
      </c>
      <c r="J25" s="4" t="s">
        <v>30</v>
      </c>
      <c r="K25" s="4" t="s">
        <v>46</v>
      </c>
      <c r="L25" s="4">
        <f t="shared" ref="L25:L79" si="7">N25+Q25+T25+V25+W25+X25+Y25+Z25+AA25+AB25+AC25+AD25+AE25</f>
        <v>3</v>
      </c>
      <c r="M25" s="4">
        <f t="shared" si="3"/>
        <v>1</v>
      </c>
      <c r="N25" s="4">
        <v>1</v>
      </c>
      <c r="O25" s="4">
        <v>0</v>
      </c>
      <c r="P25" s="4">
        <v>3</v>
      </c>
      <c r="Q25" s="4">
        <v>1</v>
      </c>
      <c r="R25" s="4">
        <v>2</v>
      </c>
      <c r="S25" s="4">
        <v>3</v>
      </c>
      <c r="T25" s="4">
        <v>1</v>
      </c>
      <c r="U25" s="4">
        <v>2</v>
      </c>
      <c r="V25" s="4">
        <v>0</v>
      </c>
      <c r="W25" s="4">
        <v>0</v>
      </c>
      <c r="X25" s="4">
        <v>0</v>
      </c>
      <c r="Y25" s="4">
        <v>0</v>
      </c>
      <c r="Z25" s="4">
        <v>0</v>
      </c>
      <c r="AA25" s="4">
        <v>0</v>
      </c>
      <c r="AB25" s="4">
        <v>0</v>
      </c>
      <c r="AC25" s="4">
        <v>0</v>
      </c>
      <c r="AD25" s="4">
        <v>0</v>
      </c>
      <c r="AE25" s="4">
        <v>0</v>
      </c>
    </row>
    <row r="26" spans="1:31" ht="15.75" customHeight="1">
      <c r="A26" s="2" t="e">
        <f>#REF!+1</f>
        <v>#REF!</v>
      </c>
      <c r="B26" s="35" t="s">
        <v>135</v>
      </c>
      <c r="C26" s="4" t="s">
        <v>38</v>
      </c>
      <c r="D26" s="14" t="s">
        <v>136</v>
      </c>
      <c r="E26" s="4" t="s">
        <v>39</v>
      </c>
      <c r="F26" s="4" t="s">
        <v>137</v>
      </c>
      <c r="G26" s="5">
        <v>46027.550798611112</v>
      </c>
      <c r="H26" s="7">
        <v>46143</v>
      </c>
      <c r="I26" s="4" t="s">
        <v>116</v>
      </c>
      <c r="J26" s="4" t="s">
        <v>47</v>
      </c>
      <c r="L26" s="4">
        <f t="shared" si="7"/>
        <v>0</v>
      </c>
      <c r="M26" s="4">
        <f t="shared" si="3"/>
        <v>0</v>
      </c>
      <c r="N26" s="4">
        <v>0</v>
      </c>
      <c r="O26" s="4">
        <v>0</v>
      </c>
      <c r="P26" s="4">
        <f t="shared" si="4"/>
        <v>0</v>
      </c>
      <c r="Q26" s="4">
        <v>0</v>
      </c>
      <c r="R26" s="4">
        <v>0</v>
      </c>
      <c r="S26" s="4">
        <f t="shared" si="0"/>
        <v>0</v>
      </c>
      <c r="T26" s="4">
        <v>0</v>
      </c>
      <c r="U26" s="4">
        <v>0</v>
      </c>
      <c r="V26" s="4">
        <v>0</v>
      </c>
      <c r="W26" s="4">
        <v>0</v>
      </c>
      <c r="X26" s="4">
        <v>0</v>
      </c>
      <c r="Y26" s="4">
        <v>0</v>
      </c>
      <c r="Z26" s="4">
        <v>0</v>
      </c>
      <c r="AA26" s="4">
        <v>0</v>
      </c>
      <c r="AB26" s="4">
        <v>0</v>
      </c>
      <c r="AC26" s="4">
        <v>0</v>
      </c>
      <c r="AD26" s="4">
        <v>0</v>
      </c>
      <c r="AE26" s="4">
        <v>0</v>
      </c>
    </row>
    <row r="27" spans="1:31" ht="15.75" customHeight="1">
      <c r="A27" s="18" t="e">
        <f t="shared" si="6"/>
        <v>#REF!</v>
      </c>
      <c r="B27" s="37" t="s">
        <v>138</v>
      </c>
      <c r="C27" s="4" t="s">
        <v>51</v>
      </c>
      <c r="D27" s="14" t="s">
        <v>139</v>
      </c>
      <c r="E27" s="4" t="s">
        <v>140</v>
      </c>
      <c r="F27" s="4" t="s">
        <v>141</v>
      </c>
      <c r="G27" s="5">
        <v>45540.074131944442</v>
      </c>
      <c r="H27" s="7">
        <v>46382</v>
      </c>
      <c r="I27" s="3" t="s">
        <v>36</v>
      </c>
      <c r="J27" s="4" t="s">
        <v>30</v>
      </c>
      <c r="L27" s="4">
        <f t="shared" si="7"/>
        <v>7</v>
      </c>
      <c r="M27" s="35">
        <v>1</v>
      </c>
      <c r="N27" s="4">
        <v>1</v>
      </c>
      <c r="O27" s="4">
        <v>0</v>
      </c>
      <c r="P27" s="35">
        <v>1</v>
      </c>
      <c r="Q27" s="4">
        <v>1</v>
      </c>
      <c r="R27" s="4">
        <v>0</v>
      </c>
      <c r="S27" s="4">
        <f t="shared" si="0"/>
        <v>3</v>
      </c>
      <c r="T27" s="4">
        <v>3</v>
      </c>
      <c r="U27" s="4">
        <v>0</v>
      </c>
      <c r="V27" s="4">
        <v>2</v>
      </c>
      <c r="W27" s="4">
        <v>0</v>
      </c>
      <c r="X27" s="4">
        <v>0</v>
      </c>
      <c r="Y27" s="4">
        <v>0</v>
      </c>
      <c r="Z27" s="4">
        <v>0</v>
      </c>
      <c r="AA27" s="4">
        <v>0</v>
      </c>
      <c r="AB27" s="4">
        <v>0</v>
      </c>
      <c r="AC27" s="4">
        <v>0</v>
      </c>
      <c r="AD27" s="4">
        <v>0</v>
      </c>
      <c r="AE27" s="4">
        <v>0</v>
      </c>
    </row>
    <row r="28" spans="1:31" ht="15.75" customHeight="1">
      <c r="A28" s="18" t="e">
        <f t="shared" si="6"/>
        <v>#REF!</v>
      </c>
      <c r="B28" s="37" t="s">
        <v>142</v>
      </c>
      <c r="C28" s="4" t="s">
        <v>51</v>
      </c>
      <c r="D28" s="3" t="s">
        <v>143</v>
      </c>
      <c r="E28" s="3" t="s">
        <v>144</v>
      </c>
      <c r="F28" s="3" t="s">
        <v>145</v>
      </c>
      <c r="G28" s="5">
        <v>45559.120983796296</v>
      </c>
      <c r="H28" s="7">
        <v>45558</v>
      </c>
      <c r="I28" s="4" t="s">
        <v>29</v>
      </c>
      <c r="J28" s="4" t="s">
        <v>30</v>
      </c>
      <c r="L28" s="4">
        <f t="shared" si="7"/>
        <v>81</v>
      </c>
      <c r="M28" s="35">
        <v>8</v>
      </c>
      <c r="N28" s="4">
        <v>8</v>
      </c>
      <c r="O28" s="4">
        <v>0</v>
      </c>
      <c r="P28" s="35">
        <v>12</v>
      </c>
      <c r="Q28" s="4">
        <v>12</v>
      </c>
      <c r="R28" s="4">
        <v>0</v>
      </c>
      <c r="S28" s="4">
        <f t="shared" si="0"/>
        <v>0</v>
      </c>
      <c r="T28" s="4">
        <v>0</v>
      </c>
      <c r="U28" s="4">
        <v>0</v>
      </c>
      <c r="V28" s="35">
        <v>12</v>
      </c>
      <c r="W28" s="35">
        <v>46</v>
      </c>
      <c r="X28" s="35">
        <v>1</v>
      </c>
      <c r="Y28" s="35">
        <v>1</v>
      </c>
      <c r="Z28" s="35">
        <v>1</v>
      </c>
      <c r="AA28" s="4">
        <v>0</v>
      </c>
      <c r="AB28" s="4">
        <v>0</v>
      </c>
      <c r="AC28" s="4">
        <v>0</v>
      </c>
      <c r="AD28" s="4">
        <v>0</v>
      </c>
      <c r="AE28" s="4">
        <v>0</v>
      </c>
    </row>
    <row r="29" spans="1:31" ht="15.75" customHeight="1">
      <c r="A29" s="18" t="e">
        <f t="shared" si="6"/>
        <v>#REF!</v>
      </c>
      <c r="B29" s="35" t="s">
        <v>146</v>
      </c>
      <c r="C29" s="4" t="s">
        <v>38</v>
      </c>
      <c r="D29" s="12" t="s">
        <v>147</v>
      </c>
      <c r="E29" s="4" t="s">
        <v>148</v>
      </c>
      <c r="F29" s="4" t="s">
        <v>149</v>
      </c>
      <c r="G29" s="5">
        <v>45563.954074074078</v>
      </c>
      <c r="H29" s="7">
        <v>45697</v>
      </c>
      <c r="I29" s="4" t="s">
        <v>29</v>
      </c>
      <c r="J29" s="4" t="s">
        <v>30</v>
      </c>
      <c r="K29" s="4" t="s">
        <v>150</v>
      </c>
      <c r="L29" s="4">
        <f t="shared" si="7"/>
        <v>4</v>
      </c>
      <c r="M29" s="4">
        <v>0</v>
      </c>
      <c r="N29" s="4">
        <v>0</v>
      </c>
      <c r="O29" s="4">
        <v>0</v>
      </c>
      <c r="P29" s="35">
        <f t="shared" si="4"/>
        <v>4</v>
      </c>
      <c r="Q29" s="4">
        <v>2</v>
      </c>
      <c r="R29" s="4">
        <v>2</v>
      </c>
      <c r="S29" s="4">
        <f t="shared" si="0"/>
        <v>9</v>
      </c>
      <c r="T29" s="4">
        <v>2</v>
      </c>
      <c r="U29" s="4">
        <v>7</v>
      </c>
      <c r="V29" s="4">
        <v>0</v>
      </c>
      <c r="W29" s="4">
        <v>0</v>
      </c>
      <c r="X29" s="4">
        <v>0</v>
      </c>
      <c r="Y29" s="4">
        <v>0</v>
      </c>
      <c r="Z29" s="4">
        <v>0</v>
      </c>
      <c r="AA29" s="4">
        <v>0</v>
      </c>
      <c r="AB29" s="4">
        <v>0</v>
      </c>
      <c r="AC29" s="4">
        <v>0</v>
      </c>
      <c r="AD29" s="4">
        <v>0</v>
      </c>
      <c r="AE29" s="4">
        <v>0</v>
      </c>
    </row>
    <row r="30" spans="1:31" ht="15.75" customHeight="1">
      <c r="A30" s="18" t="e">
        <f t="shared" si="6"/>
        <v>#REF!</v>
      </c>
      <c r="B30" s="35" t="s">
        <v>151</v>
      </c>
      <c r="C30" s="4" t="s">
        <v>42</v>
      </c>
      <c r="D30" s="14" t="s">
        <v>152</v>
      </c>
      <c r="E30" s="4" t="s">
        <v>153</v>
      </c>
      <c r="F30" s="3" t="s">
        <v>154</v>
      </c>
      <c r="G30" s="5">
        <v>45578.881006944444</v>
      </c>
      <c r="H30" s="7">
        <v>45932</v>
      </c>
      <c r="I30" s="3" t="s">
        <v>36</v>
      </c>
      <c r="J30" s="4" t="s">
        <v>30</v>
      </c>
      <c r="L30" s="4">
        <f t="shared" si="7"/>
        <v>20</v>
      </c>
      <c r="M30" s="35">
        <f t="shared" si="3"/>
        <v>2</v>
      </c>
      <c r="N30" s="4">
        <v>2</v>
      </c>
      <c r="O30" s="4">
        <v>0</v>
      </c>
      <c r="P30" s="35">
        <v>5</v>
      </c>
      <c r="Q30" s="4">
        <v>5</v>
      </c>
      <c r="R30" s="4">
        <v>0</v>
      </c>
      <c r="S30" s="4">
        <f t="shared" si="0"/>
        <v>14</v>
      </c>
      <c r="T30" s="4">
        <v>13</v>
      </c>
      <c r="U30" s="4">
        <v>1</v>
      </c>
      <c r="V30" s="4">
        <v>0</v>
      </c>
      <c r="W30" s="4">
        <v>0</v>
      </c>
      <c r="X30" s="4">
        <v>0</v>
      </c>
      <c r="Y30" s="4">
        <v>0</v>
      </c>
      <c r="Z30" s="4">
        <v>0</v>
      </c>
      <c r="AA30" s="35">
        <v>0</v>
      </c>
      <c r="AB30" s="4">
        <v>0</v>
      </c>
      <c r="AC30" s="4">
        <v>0</v>
      </c>
      <c r="AD30" s="4">
        <v>0</v>
      </c>
      <c r="AE30" s="4">
        <v>0</v>
      </c>
    </row>
    <row r="31" spans="1:31" ht="15.75" customHeight="1">
      <c r="A31" s="18" t="e">
        <f t="shared" si="6"/>
        <v>#REF!</v>
      </c>
      <c r="B31" s="35" t="s">
        <v>155</v>
      </c>
      <c r="C31" s="4" t="s">
        <v>117</v>
      </c>
      <c r="D31" s="14" t="s">
        <v>156</v>
      </c>
      <c r="E31" s="4" t="s">
        <v>157</v>
      </c>
      <c r="F31" s="4" t="s">
        <v>158</v>
      </c>
      <c r="G31" s="5">
        <v>45726.881006944444</v>
      </c>
      <c r="H31" s="7">
        <v>46246</v>
      </c>
      <c r="I31" s="3" t="s">
        <v>36</v>
      </c>
      <c r="J31" s="4" t="s">
        <v>30</v>
      </c>
      <c r="L31" s="4">
        <f t="shared" si="7"/>
        <v>73</v>
      </c>
      <c r="M31" s="35">
        <v>14</v>
      </c>
      <c r="N31" s="4">
        <v>14</v>
      </c>
      <c r="O31" s="4">
        <v>0</v>
      </c>
      <c r="P31" s="35">
        <v>24</v>
      </c>
      <c r="Q31" s="4">
        <v>24</v>
      </c>
      <c r="R31" s="4">
        <v>0</v>
      </c>
      <c r="S31" s="4">
        <f t="shared" si="0"/>
        <v>41</v>
      </c>
      <c r="T31" s="4">
        <v>35</v>
      </c>
      <c r="U31" s="4">
        <v>6</v>
      </c>
      <c r="V31" s="4">
        <v>0</v>
      </c>
      <c r="W31" s="4">
        <v>0</v>
      </c>
      <c r="X31" s="4">
        <v>0</v>
      </c>
      <c r="Y31" s="4">
        <v>0</v>
      </c>
      <c r="Z31" s="4">
        <v>0</v>
      </c>
      <c r="AA31" s="4">
        <v>0</v>
      </c>
      <c r="AB31" s="4">
        <v>0</v>
      </c>
      <c r="AC31" s="4">
        <v>0</v>
      </c>
      <c r="AD31" s="4">
        <v>0</v>
      </c>
      <c r="AE31" s="4">
        <v>0</v>
      </c>
    </row>
    <row r="32" spans="1:31" ht="15.75" customHeight="1">
      <c r="A32" s="2" t="e">
        <f t="shared" si="6"/>
        <v>#REF!</v>
      </c>
      <c r="B32" s="4" t="s">
        <v>159</v>
      </c>
      <c r="C32" s="4" t="s">
        <v>38</v>
      </c>
      <c r="D32" s="11" t="s">
        <v>160</v>
      </c>
      <c r="E32" s="5"/>
      <c r="F32" s="5"/>
      <c r="G32" s="5">
        <v>45616.894409722219</v>
      </c>
      <c r="H32" s="10">
        <v>45616</v>
      </c>
      <c r="I32" s="4" t="s">
        <v>29</v>
      </c>
      <c r="J32" s="4" t="s">
        <v>47</v>
      </c>
      <c r="L32" s="4">
        <f t="shared" si="7"/>
        <v>0</v>
      </c>
      <c r="M32" s="4">
        <f t="shared" si="3"/>
        <v>0</v>
      </c>
      <c r="N32" s="4">
        <v>0</v>
      </c>
      <c r="O32" s="4">
        <v>0</v>
      </c>
      <c r="P32" s="4">
        <f t="shared" si="4"/>
        <v>0</v>
      </c>
      <c r="Q32" s="4">
        <v>0</v>
      </c>
      <c r="R32" s="4">
        <v>0</v>
      </c>
      <c r="S32" s="4">
        <f t="shared" si="0"/>
        <v>0</v>
      </c>
      <c r="T32" s="4">
        <v>0</v>
      </c>
      <c r="U32" s="4">
        <v>0</v>
      </c>
      <c r="V32" s="4">
        <v>0</v>
      </c>
      <c r="W32" s="4">
        <v>0</v>
      </c>
      <c r="X32" s="4">
        <v>0</v>
      </c>
      <c r="Y32" s="4">
        <v>0</v>
      </c>
      <c r="Z32" s="4">
        <v>0</v>
      </c>
      <c r="AA32" s="4">
        <v>0</v>
      </c>
      <c r="AB32" s="4">
        <v>0</v>
      </c>
      <c r="AC32" s="4">
        <v>0</v>
      </c>
      <c r="AD32" s="4">
        <v>0</v>
      </c>
      <c r="AE32" s="4">
        <v>0</v>
      </c>
    </row>
    <row r="33" spans="1:31" ht="15.75" customHeight="1">
      <c r="A33" s="18" t="e">
        <f t="shared" si="6"/>
        <v>#REF!</v>
      </c>
      <c r="B33" s="37" t="s">
        <v>161</v>
      </c>
      <c r="C33" s="3"/>
      <c r="D33" s="3" t="s">
        <v>162</v>
      </c>
      <c r="E33" s="5"/>
      <c r="F33" s="5"/>
      <c r="G33" s="5">
        <v>45595.082245370373</v>
      </c>
      <c r="H33" s="10"/>
      <c r="I33" s="3" t="s">
        <v>36</v>
      </c>
      <c r="J33" s="4" t="s">
        <v>30</v>
      </c>
      <c r="L33" s="4">
        <f t="shared" si="7"/>
        <v>3</v>
      </c>
      <c r="M33" s="4">
        <f t="shared" si="3"/>
        <v>0</v>
      </c>
      <c r="N33" s="4">
        <v>0</v>
      </c>
      <c r="O33" s="4">
        <v>0</v>
      </c>
      <c r="P33" s="35">
        <f t="shared" si="4"/>
        <v>2</v>
      </c>
      <c r="Q33" s="4">
        <v>2</v>
      </c>
      <c r="R33" s="4">
        <v>0</v>
      </c>
      <c r="S33" s="4">
        <f t="shared" si="0"/>
        <v>1</v>
      </c>
      <c r="T33" s="4">
        <v>1</v>
      </c>
      <c r="U33" s="4">
        <v>0</v>
      </c>
      <c r="V33" s="4">
        <v>0</v>
      </c>
      <c r="W33" s="4">
        <v>0</v>
      </c>
      <c r="X33" s="4">
        <v>0</v>
      </c>
      <c r="Y33" s="4">
        <v>0</v>
      </c>
      <c r="Z33" s="4">
        <v>0</v>
      </c>
      <c r="AA33" s="4">
        <v>0</v>
      </c>
      <c r="AB33" s="4">
        <v>0</v>
      </c>
      <c r="AC33" s="4">
        <v>0</v>
      </c>
      <c r="AD33" s="4">
        <v>0</v>
      </c>
      <c r="AE33" s="4">
        <v>0</v>
      </c>
    </row>
    <row r="34" spans="1:31" ht="15.75" customHeight="1">
      <c r="A34" s="18" t="e">
        <f t="shared" si="6"/>
        <v>#REF!</v>
      </c>
      <c r="B34" s="35" t="s">
        <v>163</v>
      </c>
      <c r="C34" s="4" t="s">
        <v>42</v>
      </c>
      <c r="D34" s="12" t="s">
        <v>164</v>
      </c>
      <c r="E34" s="4" t="s">
        <v>165</v>
      </c>
      <c r="F34" s="1" t="s">
        <v>166</v>
      </c>
      <c r="G34" s="5">
        <v>45578.947118055556</v>
      </c>
      <c r="H34" s="7">
        <v>46412</v>
      </c>
      <c r="I34" s="3" t="s">
        <v>36</v>
      </c>
      <c r="J34" s="4" t="s">
        <v>30</v>
      </c>
      <c r="L34" s="4">
        <f t="shared" si="7"/>
        <v>9</v>
      </c>
      <c r="M34" s="35">
        <f t="shared" si="3"/>
        <v>1</v>
      </c>
      <c r="N34" s="4">
        <v>1</v>
      </c>
      <c r="O34" s="4">
        <v>0</v>
      </c>
      <c r="P34" s="35">
        <f t="shared" si="4"/>
        <v>1</v>
      </c>
      <c r="Q34" s="4">
        <v>1</v>
      </c>
      <c r="R34" s="4">
        <v>0</v>
      </c>
      <c r="S34" s="4">
        <f t="shared" si="0"/>
        <v>7</v>
      </c>
      <c r="T34" s="4">
        <v>7</v>
      </c>
      <c r="U34" s="4">
        <v>0</v>
      </c>
      <c r="V34" s="4">
        <v>0</v>
      </c>
      <c r="W34" s="4">
        <v>0</v>
      </c>
      <c r="X34" s="4">
        <v>0</v>
      </c>
      <c r="Y34" s="4">
        <v>0</v>
      </c>
      <c r="Z34" s="4">
        <v>0</v>
      </c>
      <c r="AA34" s="4">
        <v>0</v>
      </c>
      <c r="AB34" s="4">
        <v>0</v>
      </c>
      <c r="AC34" s="4">
        <v>0</v>
      </c>
      <c r="AD34" s="4">
        <v>0</v>
      </c>
      <c r="AE34" s="4">
        <v>0</v>
      </c>
    </row>
    <row r="35" spans="1:31" ht="15.75" customHeight="1">
      <c r="A35" s="18" t="e">
        <f t="shared" si="6"/>
        <v>#REF!</v>
      </c>
      <c r="B35" s="35" t="s">
        <v>167</v>
      </c>
      <c r="C35" s="4" t="s">
        <v>42</v>
      </c>
      <c r="D35" s="21" t="s">
        <v>168</v>
      </c>
      <c r="E35" s="3" t="s">
        <v>169</v>
      </c>
      <c r="F35" s="3" t="s">
        <v>170</v>
      </c>
      <c r="G35" s="5">
        <v>45643.876006944447</v>
      </c>
      <c r="H35" s="10"/>
      <c r="I35" s="3" t="s">
        <v>36</v>
      </c>
      <c r="J35" s="4" t="s">
        <v>30</v>
      </c>
      <c r="K35" s="4" t="s">
        <v>46</v>
      </c>
      <c r="L35" s="4">
        <f t="shared" si="7"/>
        <v>2</v>
      </c>
      <c r="M35" s="4">
        <f t="shared" si="3"/>
        <v>0</v>
      </c>
      <c r="N35" s="4">
        <v>0</v>
      </c>
      <c r="O35" s="4">
        <v>0</v>
      </c>
      <c r="P35" s="35">
        <f t="shared" si="4"/>
        <v>1</v>
      </c>
      <c r="Q35" s="4">
        <v>1</v>
      </c>
      <c r="R35" s="4">
        <v>0</v>
      </c>
      <c r="S35" s="4">
        <f t="shared" si="0"/>
        <v>1</v>
      </c>
      <c r="T35" s="4">
        <v>1</v>
      </c>
      <c r="U35" s="4">
        <v>0</v>
      </c>
      <c r="V35" s="4">
        <v>0</v>
      </c>
      <c r="W35" s="4">
        <v>0</v>
      </c>
      <c r="X35" s="4">
        <v>0</v>
      </c>
      <c r="Y35" s="4">
        <v>0</v>
      </c>
      <c r="Z35" s="4">
        <v>0</v>
      </c>
      <c r="AA35" s="4">
        <v>0</v>
      </c>
      <c r="AB35" s="4">
        <v>0</v>
      </c>
      <c r="AC35" s="4">
        <v>0</v>
      </c>
      <c r="AD35" s="4">
        <v>0</v>
      </c>
      <c r="AE35" s="4">
        <v>0</v>
      </c>
    </row>
    <row r="36" spans="1:31" ht="15.75" customHeight="1">
      <c r="A36" s="18" t="e">
        <f t="shared" si="6"/>
        <v>#REF!</v>
      </c>
      <c r="B36" s="37" t="s">
        <v>171</v>
      </c>
      <c r="C36" s="4" t="s">
        <v>51</v>
      </c>
      <c r="D36" s="14" t="s">
        <v>172</v>
      </c>
      <c r="E36" s="4" t="s">
        <v>173</v>
      </c>
      <c r="F36" s="4" t="s">
        <v>174</v>
      </c>
      <c r="G36" s="5">
        <v>45648.849745370368</v>
      </c>
      <c r="H36" s="10">
        <v>45679</v>
      </c>
      <c r="I36" s="3" t="s">
        <v>36</v>
      </c>
      <c r="J36" s="4" t="s">
        <v>30</v>
      </c>
      <c r="L36" s="4">
        <f t="shared" si="7"/>
        <v>5</v>
      </c>
      <c r="M36" s="35">
        <f t="shared" si="3"/>
        <v>0</v>
      </c>
      <c r="N36" s="4">
        <v>0</v>
      </c>
      <c r="O36" s="4">
        <v>0</v>
      </c>
      <c r="P36" s="35">
        <f t="shared" si="4"/>
        <v>0</v>
      </c>
      <c r="Q36" s="4">
        <v>0</v>
      </c>
      <c r="R36" s="4">
        <v>0</v>
      </c>
      <c r="S36" s="4">
        <f t="shared" si="0"/>
        <v>0</v>
      </c>
      <c r="T36" s="4">
        <v>0</v>
      </c>
      <c r="U36" s="4">
        <v>0</v>
      </c>
      <c r="V36" s="35">
        <v>5</v>
      </c>
      <c r="W36" s="35">
        <v>0</v>
      </c>
      <c r="X36" s="35">
        <v>0</v>
      </c>
      <c r="Y36" s="35">
        <v>0</v>
      </c>
      <c r="Z36" s="35">
        <v>0</v>
      </c>
      <c r="AA36" s="4">
        <v>0</v>
      </c>
      <c r="AB36" s="4">
        <v>0</v>
      </c>
      <c r="AC36" s="4">
        <v>0</v>
      </c>
      <c r="AD36" s="4">
        <v>0</v>
      </c>
      <c r="AE36" s="4">
        <v>0</v>
      </c>
    </row>
    <row r="37" spans="1:31" ht="15.75" customHeight="1">
      <c r="A37" s="18" t="e">
        <f t="shared" si="6"/>
        <v>#REF!</v>
      </c>
      <c r="B37" s="35" t="s">
        <v>175</v>
      </c>
      <c r="C37" s="4" t="s">
        <v>42</v>
      </c>
      <c r="D37" s="14" t="s">
        <v>176</v>
      </c>
      <c r="E37" s="4" t="s">
        <v>177</v>
      </c>
      <c r="F37" s="4">
        <v>541665915</v>
      </c>
      <c r="G37" s="5">
        <v>45627.947118055556</v>
      </c>
      <c r="H37" s="7">
        <v>45670</v>
      </c>
      <c r="I37" s="3" t="s">
        <v>36</v>
      </c>
      <c r="J37" s="4" t="s">
        <v>30</v>
      </c>
      <c r="L37" s="4">
        <f t="shared" si="7"/>
        <v>6</v>
      </c>
      <c r="M37" s="35">
        <f t="shared" si="3"/>
        <v>1</v>
      </c>
      <c r="N37" s="4">
        <v>1</v>
      </c>
      <c r="O37" s="4">
        <v>0</v>
      </c>
      <c r="P37" s="35">
        <v>1</v>
      </c>
      <c r="Q37" s="4">
        <v>1</v>
      </c>
      <c r="R37" s="4">
        <v>0</v>
      </c>
      <c r="S37" s="4">
        <f t="shared" si="0"/>
        <v>4</v>
      </c>
      <c r="T37" s="4">
        <v>4</v>
      </c>
      <c r="U37" s="4">
        <v>0</v>
      </c>
      <c r="V37" s="4">
        <v>0</v>
      </c>
      <c r="W37" s="4">
        <v>0</v>
      </c>
      <c r="X37" s="4">
        <v>0</v>
      </c>
      <c r="Y37" s="4">
        <v>0</v>
      </c>
      <c r="Z37" s="4">
        <v>0</v>
      </c>
      <c r="AA37" s="4">
        <v>0</v>
      </c>
      <c r="AB37" s="4">
        <v>0</v>
      </c>
      <c r="AC37" s="4">
        <v>0</v>
      </c>
      <c r="AD37" s="4">
        <v>0</v>
      </c>
      <c r="AE37" s="4">
        <v>0</v>
      </c>
    </row>
    <row r="38" spans="1:31" ht="15.75" customHeight="1">
      <c r="A38" s="2" t="e">
        <f t="shared" si="6"/>
        <v>#REF!</v>
      </c>
      <c r="B38" s="35" t="s">
        <v>178</v>
      </c>
      <c r="C38" s="4" t="s">
        <v>179</v>
      </c>
      <c r="D38" s="14" t="s">
        <v>180</v>
      </c>
      <c r="E38" s="4" t="s">
        <v>181</v>
      </c>
      <c r="F38" s="4" t="s">
        <v>182</v>
      </c>
      <c r="G38" s="5">
        <v>45679.764745370368</v>
      </c>
      <c r="H38" s="7">
        <v>46449</v>
      </c>
      <c r="I38" s="4" t="s">
        <v>36</v>
      </c>
      <c r="J38" s="4" t="s">
        <v>30</v>
      </c>
      <c r="K38" s="4" t="s">
        <v>183</v>
      </c>
      <c r="L38" s="4">
        <f t="shared" si="7"/>
        <v>1</v>
      </c>
      <c r="M38" s="4">
        <f t="shared" si="3"/>
        <v>0</v>
      </c>
      <c r="N38" s="4">
        <v>0</v>
      </c>
      <c r="O38" s="4">
        <v>0</v>
      </c>
      <c r="P38" s="35">
        <f t="shared" si="4"/>
        <v>1</v>
      </c>
      <c r="Q38" s="4">
        <v>1</v>
      </c>
      <c r="R38" s="4">
        <v>0</v>
      </c>
      <c r="S38" s="4">
        <f t="shared" si="0"/>
        <v>0</v>
      </c>
      <c r="T38" s="4">
        <v>0</v>
      </c>
      <c r="U38" s="4">
        <v>0</v>
      </c>
      <c r="V38" s="4">
        <v>0</v>
      </c>
      <c r="W38" s="4">
        <v>0</v>
      </c>
      <c r="X38" s="4">
        <v>0</v>
      </c>
      <c r="Y38" s="4">
        <v>0</v>
      </c>
      <c r="Z38" s="4">
        <v>0</v>
      </c>
      <c r="AA38" s="4">
        <v>0</v>
      </c>
      <c r="AB38" s="4">
        <v>0</v>
      </c>
      <c r="AC38" s="4">
        <v>0</v>
      </c>
      <c r="AD38" s="4">
        <v>0</v>
      </c>
      <c r="AE38" s="4">
        <v>0</v>
      </c>
    </row>
    <row r="39" spans="1:31" ht="15.75" customHeight="1">
      <c r="A39" s="2" t="e">
        <f t="shared" si="6"/>
        <v>#REF!</v>
      </c>
      <c r="B39" s="35" t="s">
        <v>184</v>
      </c>
      <c r="C39" s="4" t="s">
        <v>38</v>
      </c>
      <c r="D39" s="14" t="s">
        <v>185</v>
      </c>
      <c r="E39" s="3" t="s">
        <v>186</v>
      </c>
      <c r="F39" s="3" t="s">
        <v>187</v>
      </c>
      <c r="G39" s="5">
        <v>45680.816111111111</v>
      </c>
      <c r="H39" s="7">
        <v>46358</v>
      </c>
      <c r="I39" s="4" t="s">
        <v>29</v>
      </c>
      <c r="J39" s="4" t="s">
        <v>30</v>
      </c>
      <c r="L39" s="4">
        <f t="shared" si="7"/>
        <v>7</v>
      </c>
      <c r="M39" s="4">
        <f t="shared" si="3"/>
        <v>0</v>
      </c>
      <c r="N39" s="4">
        <v>0</v>
      </c>
      <c r="O39" s="4">
        <v>0</v>
      </c>
      <c r="P39" s="35">
        <f t="shared" si="4"/>
        <v>1</v>
      </c>
      <c r="Q39" s="4">
        <v>1</v>
      </c>
      <c r="R39" s="4">
        <v>0</v>
      </c>
      <c r="S39" s="4">
        <f t="shared" si="0"/>
        <v>9</v>
      </c>
      <c r="T39" s="4">
        <v>6</v>
      </c>
      <c r="U39" s="4">
        <v>3</v>
      </c>
      <c r="V39" s="4">
        <v>0</v>
      </c>
      <c r="W39" s="4">
        <v>0</v>
      </c>
      <c r="X39" s="4">
        <v>0</v>
      </c>
      <c r="Y39" s="4">
        <v>0</v>
      </c>
      <c r="Z39" s="4">
        <v>0</v>
      </c>
      <c r="AA39" s="4">
        <v>0</v>
      </c>
      <c r="AB39" s="4">
        <v>0</v>
      </c>
      <c r="AC39" s="4">
        <v>0</v>
      </c>
      <c r="AD39" s="4">
        <v>0</v>
      </c>
      <c r="AE39" s="4">
        <v>0</v>
      </c>
    </row>
    <row r="40" spans="1:31" ht="15.75" customHeight="1">
      <c r="A40" s="2" t="e">
        <f t="shared" si="6"/>
        <v>#REF!</v>
      </c>
      <c r="B40" s="35" t="s">
        <v>188</v>
      </c>
      <c r="C40" s="4" t="s">
        <v>42</v>
      </c>
      <c r="D40" s="14" t="s">
        <v>189</v>
      </c>
      <c r="E40" s="4" t="s">
        <v>190</v>
      </c>
      <c r="F40" s="3" t="s">
        <v>191</v>
      </c>
      <c r="G40" s="5">
        <v>45701.95621527778</v>
      </c>
      <c r="H40" s="10">
        <v>45686</v>
      </c>
      <c r="I40" s="3" t="s">
        <v>36</v>
      </c>
      <c r="J40" s="4" t="s">
        <v>47</v>
      </c>
      <c r="K40" s="4" t="s">
        <v>104</v>
      </c>
      <c r="L40" s="4">
        <f t="shared" si="7"/>
        <v>12</v>
      </c>
      <c r="M40" s="35">
        <f t="shared" si="3"/>
        <v>1</v>
      </c>
      <c r="N40" s="4">
        <v>1</v>
      </c>
      <c r="O40" s="4">
        <v>0</v>
      </c>
      <c r="P40" s="35">
        <f t="shared" si="4"/>
        <v>2</v>
      </c>
      <c r="Q40" s="4">
        <v>2</v>
      </c>
      <c r="R40" s="4">
        <v>0</v>
      </c>
      <c r="S40" s="4">
        <f t="shared" si="0"/>
        <v>9</v>
      </c>
      <c r="T40" s="4">
        <v>9</v>
      </c>
      <c r="U40" s="4">
        <v>0</v>
      </c>
      <c r="V40" s="4">
        <v>0</v>
      </c>
      <c r="W40" s="4">
        <v>0</v>
      </c>
      <c r="X40" s="4">
        <v>0</v>
      </c>
      <c r="Y40" s="4">
        <v>0</v>
      </c>
      <c r="Z40" s="4">
        <v>0</v>
      </c>
      <c r="AA40" s="4">
        <v>0</v>
      </c>
      <c r="AB40" s="4">
        <v>0</v>
      </c>
      <c r="AC40" s="4">
        <v>0</v>
      </c>
      <c r="AD40" s="4">
        <v>0</v>
      </c>
      <c r="AE40" s="4">
        <v>0</v>
      </c>
    </row>
    <row r="41" spans="1:31" ht="15.75" customHeight="1">
      <c r="A41" s="2" t="e">
        <f t="shared" si="6"/>
        <v>#REF!</v>
      </c>
      <c r="B41" s="22" t="s">
        <v>192</v>
      </c>
      <c r="C41" s="3"/>
      <c r="D41" s="14" t="s">
        <v>193</v>
      </c>
      <c r="E41" s="5"/>
      <c r="F41" s="5"/>
      <c r="G41" s="6">
        <v>45770.921365740738</v>
      </c>
      <c r="H41" s="7">
        <v>46165</v>
      </c>
      <c r="I41" s="4" t="s">
        <v>116</v>
      </c>
      <c r="J41" s="4" t="s">
        <v>47</v>
      </c>
      <c r="L41" s="4">
        <f t="shared" si="7"/>
        <v>0</v>
      </c>
      <c r="M41" s="4">
        <f t="shared" si="3"/>
        <v>0</v>
      </c>
      <c r="N41" s="4">
        <v>0</v>
      </c>
      <c r="O41" s="4">
        <v>0</v>
      </c>
      <c r="P41" s="4">
        <f t="shared" si="4"/>
        <v>0</v>
      </c>
      <c r="Q41" s="4">
        <v>0</v>
      </c>
      <c r="R41" s="4">
        <v>0</v>
      </c>
      <c r="S41" s="4">
        <f t="shared" si="0"/>
        <v>0</v>
      </c>
      <c r="T41" s="4">
        <v>0</v>
      </c>
      <c r="U41" s="4">
        <v>0</v>
      </c>
      <c r="V41" s="4">
        <v>0</v>
      </c>
      <c r="W41" s="4">
        <v>0</v>
      </c>
      <c r="X41" s="4">
        <v>0</v>
      </c>
      <c r="Y41" s="4">
        <v>0</v>
      </c>
      <c r="Z41" s="4">
        <v>0</v>
      </c>
      <c r="AA41" s="4">
        <v>0</v>
      </c>
      <c r="AB41" s="4">
        <v>0</v>
      </c>
      <c r="AC41" s="4">
        <v>0</v>
      </c>
      <c r="AD41" s="4">
        <v>0</v>
      </c>
      <c r="AE41" s="4">
        <v>0</v>
      </c>
    </row>
    <row r="42" spans="1:31" ht="15.75" customHeight="1">
      <c r="A42" s="2" t="e">
        <f t="shared" si="6"/>
        <v>#REF!</v>
      </c>
      <c r="B42" s="35" t="s">
        <v>194</v>
      </c>
      <c r="C42" s="4" t="s">
        <v>42</v>
      </c>
      <c r="D42" s="12" t="s">
        <v>195</v>
      </c>
      <c r="E42" s="4" t="s">
        <v>196</v>
      </c>
      <c r="F42" s="3" t="s">
        <v>197</v>
      </c>
      <c r="G42" s="6">
        <v>45997.94804398148</v>
      </c>
      <c r="H42" s="7">
        <v>46148</v>
      </c>
      <c r="I42" s="4" t="s">
        <v>116</v>
      </c>
      <c r="J42" s="4" t="s">
        <v>47</v>
      </c>
      <c r="L42" s="4">
        <f t="shared" si="7"/>
        <v>3</v>
      </c>
      <c r="M42" s="4">
        <f t="shared" si="3"/>
        <v>0</v>
      </c>
      <c r="N42" s="4">
        <v>0</v>
      </c>
      <c r="O42" s="4">
        <v>0</v>
      </c>
      <c r="P42" s="35">
        <f t="shared" si="4"/>
        <v>1</v>
      </c>
      <c r="Q42" s="4">
        <v>1</v>
      </c>
      <c r="R42" s="4">
        <v>0</v>
      </c>
      <c r="S42" s="4">
        <f t="shared" si="0"/>
        <v>3</v>
      </c>
      <c r="T42" s="4">
        <v>2</v>
      </c>
      <c r="U42" s="4">
        <v>1</v>
      </c>
      <c r="V42" s="4">
        <v>0</v>
      </c>
      <c r="W42" s="4">
        <v>0</v>
      </c>
      <c r="X42" s="4">
        <v>0</v>
      </c>
      <c r="Y42" s="4">
        <v>0</v>
      </c>
      <c r="Z42" s="4">
        <v>0</v>
      </c>
      <c r="AA42" s="4">
        <v>0</v>
      </c>
      <c r="AB42" s="4">
        <v>0</v>
      </c>
      <c r="AC42" s="4">
        <v>0</v>
      </c>
      <c r="AD42" s="4">
        <v>0</v>
      </c>
      <c r="AE42" s="4">
        <v>0</v>
      </c>
    </row>
    <row r="43" spans="1:31" ht="15.75" customHeight="1">
      <c r="A43" s="2" t="e">
        <f t="shared" si="6"/>
        <v>#REF!</v>
      </c>
      <c r="B43" s="35" t="s">
        <v>198</v>
      </c>
      <c r="C43" s="4" t="s">
        <v>42</v>
      </c>
      <c r="D43" s="14" t="s">
        <v>199</v>
      </c>
      <c r="E43" s="4" t="s">
        <v>200</v>
      </c>
      <c r="F43" s="4" t="s">
        <v>201</v>
      </c>
      <c r="G43" s="5">
        <v>45923.033402777779</v>
      </c>
      <c r="H43" s="10">
        <v>46296</v>
      </c>
      <c r="I43" s="3" t="s">
        <v>36</v>
      </c>
      <c r="J43" s="4" t="s">
        <v>30</v>
      </c>
      <c r="K43" s="4" t="s">
        <v>62</v>
      </c>
      <c r="L43" s="4">
        <f t="shared" si="7"/>
        <v>5</v>
      </c>
      <c r="M43" s="35">
        <f t="shared" si="3"/>
        <v>1</v>
      </c>
      <c r="N43" s="4">
        <v>1</v>
      </c>
      <c r="O43" s="4">
        <v>0</v>
      </c>
      <c r="P43" s="35">
        <f t="shared" si="4"/>
        <v>2</v>
      </c>
      <c r="Q43" s="4">
        <v>2</v>
      </c>
      <c r="R43" s="4">
        <v>0</v>
      </c>
      <c r="S43" s="4">
        <f t="shared" si="0"/>
        <v>2</v>
      </c>
      <c r="T43" s="4">
        <v>2</v>
      </c>
      <c r="U43" s="4">
        <v>0</v>
      </c>
      <c r="V43" s="4">
        <v>0</v>
      </c>
      <c r="W43" s="4">
        <v>0</v>
      </c>
      <c r="X43" s="4">
        <v>0</v>
      </c>
      <c r="Y43" s="4">
        <v>0</v>
      </c>
      <c r="Z43" s="4">
        <v>0</v>
      </c>
      <c r="AA43" s="4">
        <v>0</v>
      </c>
      <c r="AB43" s="4">
        <v>0</v>
      </c>
      <c r="AC43" s="4">
        <v>0</v>
      </c>
      <c r="AD43" s="4">
        <v>0</v>
      </c>
      <c r="AE43" s="4">
        <v>0</v>
      </c>
    </row>
    <row r="44" spans="1:31" ht="15.75" customHeight="1">
      <c r="A44" s="17" t="e">
        <f t="shared" si="6"/>
        <v>#REF!</v>
      </c>
      <c r="B44" s="35" t="s">
        <v>202</v>
      </c>
      <c r="C44" s="31" t="s">
        <v>342</v>
      </c>
      <c r="D44" s="14" t="s">
        <v>203</v>
      </c>
      <c r="E44" s="5"/>
      <c r="F44" s="5"/>
      <c r="G44" s="5">
        <v>45844.832002314812</v>
      </c>
      <c r="H44" s="7">
        <v>46191</v>
      </c>
      <c r="I44" s="4" t="s">
        <v>29</v>
      </c>
      <c r="J44" s="4" t="s">
        <v>30</v>
      </c>
      <c r="L44" s="4">
        <f t="shared" si="7"/>
        <v>0</v>
      </c>
      <c r="M44" s="4">
        <f t="shared" si="3"/>
        <v>0</v>
      </c>
      <c r="N44" s="4">
        <v>0</v>
      </c>
      <c r="O44" s="4">
        <v>0</v>
      </c>
      <c r="P44" s="4">
        <f t="shared" si="4"/>
        <v>0</v>
      </c>
      <c r="Q44" s="4">
        <v>0</v>
      </c>
      <c r="R44" s="4">
        <v>0</v>
      </c>
      <c r="S44" s="4">
        <f t="shared" si="0"/>
        <v>0</v>
      </c>
      <c r="T44" s="4">
        <v>0</v>
      </c>
      <c r="U44" s="4">
        <v>0</v>
      </c>
      <c r="V44" s="4">
        <v>0</v>
      </c>
      <c r="W44" s="4">
        <v>0</v>
      </c>
      <c r="X44" s="4">
        <v>0</v>
      </c>
      <c r="Y44" s="4">
        <v>0</v>
      </c>
      <c r="Z44" s="4">
        <v>0</v>
      </c>
      <c r="AA44" s="4">
        <v>0</v>
      </c>
      <c r="AB44" s="4">
        <v>0</v>
      </c>
      <c r="AC44" s="4">
        <v>0</v>
      </c>
      <c r="AD44" s="4">
        <v>0</v>
      </c>
      <c r="AE44" s="4">
        <v>0</v>
      </c>
    </row>
    <row r="45" spans="1:31" ht="15.75" customHeight="1">
      <c r="A45" s="17" t="e">
        <f t="shared" si="6"/>
        <v>#REF!</v>
      </c>
      <c r="B45" s="35" t="s">
        <v>204</v>
      </c>
      <c r="C45" s="4" t="s">
        <v>38</v>
      </c>
      <c r="D45" s="11" t="s">
        <v>205</v>
      </c>
      <c r="E45" s="4" t="s">
        <v>39</v>
      </c>
      <c r="F45" s="3" t="s">
        <v>206</v>
      </c>
      <c r="G45" s="5">
        <v>46008.033402777779</v>
      </c>
      <c r="H45" s="7">
        <v>46163</v>
      </c>
      <c r="I45" s="4" t="s">
        <v>116</v>
      </c>
      <c r="J45" s="4" t="s">
        <v>30</v>
      </c>
      <c r="L45" s="4">
        <f t="shared" si="7"/>
        <v>2</v>
      </c>
      <c r="M45" s="4">
        <f t="shared" si="3"/>
        <v>0</v>
      </c>
      <c r="N45" s="4">
        <v>0</v>
      </c>
      <c r="O45" s="4">
        <v>0</v>
      </c>
      <c r="P45" s="35">
        <f t="shared" si="4"/>
        <v>1</v>
      </c>
      <c r="Q45" s="4">
        <v>1</v>
      </c>
      <c r="R45" s="4">
        <v>0</v>
      </c>
      <c r="S45" s="4">
        <f t="shared" si="0"/>
        <v>1</v>
      </c>
      <c r="T45" s="4">
        <v>1</v>
      </c>
      <c r="U45" s="4">
        <v>0</v>
      </c>
      <c r="V45" s="4">
        <v>0</v>
      </c>
      <c r="W45" s="4">
        <v>0</v>
      </c>
      <c r="X45" s="4">
        <v>0</v>
      </c>
      <c r="Y45" s="4">
        <v>0</v>
      </c>
      <c r="Z45" s="4">
        <v>0</v>
      </c>
      <c r="AA45" s="4">
        <v>0</v>
      </c>
      <c r="AB45" s="4">
        <v>0</v>
      </c>
      <c r="AC45" s="4">
        <v>0</v>
      </c>
      <c r="AD45" s="4">
        <v>0</v>
      </c>
      <c r="AE45" s="4">
        <v>0</v>
      </c>
    </row>
    <row r="46" spans="1:31" ht="15.75" customHeight="1">
      <c r="A46" s="2" t="e">
        <f t="shared" si="6"/>
        <v>#REF!</v>
      </c>
      <c r="B46" s="39" t="s">
        <v>207</v>
      </c>
      <c r="C46" s="4" t="s">
        <v>51</v>
      </c>
      <c r="D46" s="14" t="s">
        <v>208</v>
      </c>
      <c r="E46" s="4" t="s">
        <v>209</v>
      </c>
      <c r="F46" s="3" t="s">
        <v>210</v>
      </c>
      <c r="G46" s="5">
        <v>45866.105196759258</v>
      </c>
      <c r="H46" s="10">
        <v>45973</v>
      </c>
      <c r="I46" s="3" t="s">
        <v>36</v>
      </c>
      <c r="J46" s="4" t="s">
        <v>30</v>
      </c>
      <c r="K46" s="4" t="s">
        <v>211</v>
      </c>
      <c r="L46" s="4">
        <f t="shared" si="7"/>
        <v>9</v>
      </c>
      <c r="M46" s="35">
        <f t="shared" si="3"/>
        <v>3</v>
      </c>
      <c r="N46" s="4">
        <v>3</v>
      </c>
      <c r="O46" s="4">
        <v>0</v>
      </c>
      <c r="P46" s="35">
        <f t="shared" si="4"/>
        <v>3</v>
      </c>
      <c r="Q46" s="4">
        <v>3</v>
      </c>
      <c r="R46" s="4">
        <v>0</v>
      </c>
      <c r="S46" s="4">
        <f t="shared" si="0"/>
        <v>0</v>
      </c>
      <c r="T46" s="4">
        <v>0</v>
      </c>
      <c r="U46" s="4">
        <v>0</v>
      </c>
      <c r="V46" s="4">
        <v>0</v>
      </c>
      <c r="W46" s="40">
        <v>3</v>
      </c>
      <c r="X46" s="35">
        <v>0</v>
      </c>
      <c r="Y46" s="4">
        <v>0</v>
      </c>
      <c r="Z46" s="4">
        <v>0</v>
      </c>
      <c r="AA46" s="4">
        <v>0</v>
      </c>
      <c r="AB46" s="4">
        <v>0</v>
      </c>
      <c r="AC46" s="4">
        <v>0</v>
      </c>
      <c r="AD46" s="4">
        <v>0</v>
      </c>
      <c r="AE46" s="4">
        <v>0</v>
      </c>
    </row>
    <row r="47" spans="1:31" ht="15.75" customHeight="1">
      <c r="A47" s="2" t="e">
        <f t="shared" si="6"/>
        <v>#REF!</v>
      </c>
      <c r="B47" s="35" t="s">
        <v>212</v>
      </c>
      <c r="C47" s="4" t="s">
        <v>213</v>
      </c>
      <c r="D47" s="12" t="s">
        <v>214</v>
      </c>
      <c r="E47" s="4" t="s">
        <v>215</v>
      </c>
      <c r="F47" s="4" t="s">
        <v>216</v>
      </c>
      <c r="G47" s="6">
        <v>46111.962037037039</v>
      </c>
      <c r="H47" s="7">
        <v>46174</v>
      </c>
      <c r="I47" s="4" t="s">
        <v>116</v>
      </c>
      <c r="J47" s="4" t="s">
        <v>30</v>
      </c>
      <c r="K47" s="4" t="s">
        <v>217</v>
      </c>
      <c r="L47" s="4">
        <f t="shared" si="7"/>
        <v>5</v>
      </c>
      <c r="M47" s="4">
        <f t="shared" si="3"/>
        <v>0</v>
      </c>
      <c r="N47" s="4">
        <v>0</v>
      </c>
      <c r="O47" s="4">
        <v>0</v>
      </c>
      <c r="P47" s="35">
        <f t="shared" si="4"/>
        <v>2</v>
      </c>
      <c r="Q47" s="4">
        <v>2</v>
      </c>
      <c r="R47" s="4">
        <v>0</v>
      </c>
      <c r="S47" s="4">
        <f t="shared" si="0"/>
        <v>8</v>
      </c>
      <c r="T47" s="4">
        <v>3</v>
      </c>
      <c r="U47" s="4">
        <v>5</v>
      </c>
      <c r="V47" s="4">
        <v>0</v>
      </c>
      <c r="W47" s="4">
        <v>0</v>
      </c>
      <c r="X47" s="4">
        <v>0</v>
      </c>
      <c r="Y47" s="4">
        <v>0</v>
      </c>
      <c r="Z47" s="4">
        <v>0</v>
      </c>
      <c r="AA47" s="4">
        <v>0</v>
      </c>
      <c r="AB47" s="4">
        <v>0</v>
      </c>
      <c r="AC47" s="4">
        <v>0</v>
      </c>
      <c r="AD47" s="4">
        <v>0</v>
      </c>
      <c r="AE47" s="4">
        <v>0</v>
      </c>
    </row>
    <row r="48" spans="1:31" ht="15.75" customHeight="1">
      <c r="A48" s="2" t="e">
        <f t="shared" si="6"/>
        <v>#REF!</v>
      </c>
      <c r="B48" s="4" t="s">
        <v>218</v>
      </c>
      <c r="C48" s="4" t="s">
        <v>42</v>
      </c>
      <c r="D48" s="12" t="s">
        <v>219</v>
      </c>
      <c r="E48" s="4" t="s">
        <v>62</v>
      </c>
      <c r="F48" s="4" t="s">
        <v>62</v>
      </c>
      <c r="G48" s="5">
        <v>45897.136736111112</v>
      </c>
      <c r="H48" s="7">
        <v>46145</v>
      </c>
      <c r="I48" s="4" t="s">
        <v>116</v>
      </c>
      <c r="J48" s="4" t="s">
        <v>47</v>
      </c>
      <c r="K48" s="4" t="s">
        <v>220</v>
      </c>
      <c r="L48" s="4">
        <f t="shared" si="7"/>
        <v>0</v>
      </c>
      <c r="M48" s="4">
        <f t="shared" si="3"/>
        <v>0</v>
      </c>
      <c r="N48" s="4">
        <v>0</v>
      </c>
      <c r="O48" s="4">
        <v>0</v>
      </c>
      <c r="P48" s="4">
        <f t="shared" si="4"/>
        <v>0</v>
      </c>
      <c r="Q48" s="4">
        <v>0</v>
      </c>
      <c r="R48" s="4">
        <v>0</v>
      </c>
      <c r="S48" s="4">
        <f t="shared" si="0"/>
        <v>1</v>
      </c>
      <c r="T48" s="4">
        <v>0</v>
      </c>
      <c r="U48" s="4">
        <v>1</v>
      </c>
      <c r="V48" s="4">
        <v>0</v>
      </c>
      <c r="W48" s="4">
        <v>0</v>
      </c>
      <c r="X48" s="4">
        <v>0</v>
      </c>
      <c r="Y48" s="4">
        <v>0</v>
      </c>
      <c r="Z48" s="4">
        <v>0</v>
      </c>
      <c r="AA48" s="4">
        <v>0</v>
      </c>
      <c r="AB48" s="4">
        <v>0</v>
      </c>
      <c r="AC48" s="4">
        <v>0</v>
      </c>
      <c r="AD48" s="4">
        <v>0</v>
      </c>
      <c r="AE48" s="4">
        <v>0</v>
      </c>
    </row>
    <row r="49" spans="1:31" ht="15.75" customHeight="1">
      <c r="A49" s="2" t="e">
        <f t="shared" si="6"/>
        <v>#REF!</v>
      </c>
      <c r="B49" s="35" t="s">
        <v>221</v>
      </c>
      <c r="C49" s="4" t="s">
        <v>38</v>
      </c>
      <c r="D49" s="14" t="s">
        <v>222</v>
      </c>
      <c r="E49" s="4" t="s">
        <v>223</v>
      </c>
      <c r="F49" s="4" t="s">
        <v>224</v>
      </c>
      <c r="G49" s="5">
        <v>45914.136736111112</v>
      </c>
      <c r="H49" s="10">
        <v>46261</v>
      </c>
      <c r="I49" s="4" t="s">
        <v>29</v>
      </c>
      <c r="J49" s="4" t="s">
        <v>30</v>
      </c>
      <c r="K49" s="4" t="s">
        <v>46</v>
      </c>
      <c r="L49" s="4">
        <f t="shared" si="7"/>
        <v>12</v>
      </c>
      <c r="M49" s="35">
        <f t="shared" si="3"/>
        <v>3</v>
      </c>
      <c r="N49" s="4">
        <v>3</v>
      </c>
      <c r="O49" s="4">
        <v>0</v>
      </c>
      <c r="P49" s="35">
        <f t="shared" si="4"/>
        <v>3</v>
      </c>
      <c r="Q49" s="4">
        <v>3</v>
      </c>
      <c r="R49" s="4">
        <v>0</v>
      </c>
      <c r="S49" s="4">
        <f t="shared" si="0"/>
        <v>12</v>
      </c>
      <c r="T49" s="4">
        <v>6</v>
      </c>
      <c r="U49" s="4">
        <v>6</v>
      </c>
      <c r="V49" s="4">
        <v>0</v>
      </c>
      <c r="W49" s="4">
        <v>0</v>
      </c>
      <c r="X49" s="4">
        <v>0</v>
      </c>
      <c r="Y49" s="4">
        <v>0</v>
      </c>
      <c r="Z49" s="4">
        <v>0</v>
      </c>
      <c r="AA49" s="4">
        <v>0</v>
      </c>
      <c r="AB49" s="4">
        <v>0</v>
      </c>
      <c r="AC49" s="4">
        <v>0</v>
      </c>
      <c r="AD49" s="4">
        <v>0</v>
      </c>
      <c r="AE49" s="4">
        <v>0</v>
      </c>
    </row>
    <row r="50" spans="1:31" ht="15.75" customHeight="1">
      <c r="A50" s="2" t="e">
        <f t="shared" si="6"/>
        <v>#REF!</v>
      </c>
      <c r="B50" s="35" t="s">
        <v>225</v>
      </c>
      <c r="C50" s="4" t="s">
        <v>117</v>
      </c>
      <c r="D50" s="12" t="s">
        <v>226</v>
      </c>
      <c r="E50" s="3" t="s">
        <v>227</v>
      </c>
      <c r="F50" s="4" t="s">
        <v>197</v>
      </c>
      <c r="G50" s="5">
        <v>45920.136736111112</v>
      </c>
      <c r="H50" s="10">
        <v>45896</v>
      </c>
      <c r="I50" s="4" t="s">
        <v>36</v>
      </c>
      <c r="J50" s="4" t="s">
        <v>30</v>
      </c>
      <c r="K50" s="4" t="s">
        <v>228</v>
      </c>
      <c r="L50" s="4">
        <f t="shared" si="7"/>
        <v>21</v>
      </c>
      <c r="M50" s="35">
        <f t="shared" si="3"/>
        <v>4</v>
      </c>
      <c r="N50" s="4">
        <v>4</v>
      </c>
      <c r="O50" s="4">
        <v>0</v>
      </c>
      <c r="P50" s="35">
        <f t="shared" si="4"/>
        <v>7</v>
      </c>
      <c r="Q50" s="4">
        <v>7</v>
      </c>
      <c r="R50" s="4">
        <v>0</v>
      </c>
      <c r="S50" s="4">
        <f t="shared" si="0"/>
        <v>10</v>
      </c>
      <c r="T50" s="4">
        <v>10</v>
      </c>
      <c r="U50" s="4">
        <v>0</v>
      </c>
      <c r="V50" s="4">
        <v>0</v>
      </c>
      <c r="W50" s="4">
        <v>0</v>
      </c>
      <c r="X50" s="4">
        <v>0</v>
      </c>
      <c r="Y50" s="4">
        <v>0</v>
      </c>
      <c r="Z50" s="4">
        <v>0</v>
      </c>
      <c r="AA50" s="4">
        <v>0</v>
      </c>
      <c r="AB50" s="4">
        <v>0</v>
      </c>
      <c r="AC50" s="4">
        <v>0</v>
      </c>
      <c r="AD50" s="4">
        <v>0</v>
      </c>
      <c r="AE50" s="4">
        <v>0</v>
      </c>
    </row>
    <row r="51" spans="1:31" ht="15.75" customHeight="1">
      <c r="A51" s="2" t="e">
        <f t="shared" si="6"/>
        <v>#REF!</v>
      </c>
      <c r="B51" s="35" t="s">
        <v>229</v>
      </c>
      <c r="C51" s="4" t="s">
        <v>230</v>
      </c>
      <c r="D51" s="11" t="s">
        <v>231</v>
      </c>
      <c r="E51" s="3" t="s">
        <v>232</v>
      </c>
      <c r="F51" s="3" t="s">
        <v>233</v>
      </c>
      <c r="G51" s="5">
        <v>44518.975763888891</v>
      </c>
      <c r="H51" s="7">
        <v>46175</v>
      </c>
      <c r="I51" s="4" t="s">
        <v>36</v>
      </c>
      <c r="J51" s="4" t="s">
        <v>30</v>
      </c>
      <c r="K51" s="4" t="s">
        <v>46</v>
      </c>
      <c r="L51" s="4">
        <f t="shared" si="7"/>
        <v>3</v>
      </c>
      <c r="M51" s="4">
        <v>0</v>
      </c>
      <c r="N51" s="4">
        <v>0</v>
      </c>
      <c r="O51" s="4">
        <v>0</v>
      </c>
      <c r="P51" s="35">
        <f t="shared" si="4"/>
        <v>3</v>
      </c>
      <c r="Q51" s="4">
        <v>3</v>
      </c>
      <c r="R51" s="4">
        <v>0</v>
      </c>
      <c r="S51" s="4">
        <f t="shared" si="0"/>
        <v>0</v>
      </c>
      <c r="T51" s="4">
        <v>0</v>
      </c>
      <c r="U51" s="4">
        <v>0</v>
      </c>
      <c r="V51" s="4">
        <v>0</v>
      </c>
      <c r="W51" s="4">
        <v>0</v>
      </c>
      <c r="X51" s="4">
        <v>0</v>
      </c>
      <c r="Y51" s="4">
        <v>0</v>
      </c>
      <c r="Z51" s="4">
        <v>0</v>
      </c>
      <c r="AA51" s="4">
        <v>0</v>
      </c>
      <c r="AB51" s="4">
        <v>0</v>
      </c>
      <c r="AC51" s="4">
        <v>0</v>
      </c>
      <c r="AD51" s="4">
        <v>0</v>
      </c>
      <c r="AE51" s="4">
        <v>0</v>
      </c>
    </row>
    <row r="52" spans="1:31" ht="15.75" customHeight="1">
      <c r="A52" s="2" t="e">
        <f t="shared" si="6"/>
        <v>#REF!</v>
      </c>
      <c r="B52" s="35" t="s">
        <v>234</v>
      </c>
      <c r="C52" s="4" t="s">
        <v>38</v>
      </c>
      <c r="D52" s="12" t="s">
        <v>235</v>
      </c>
      <c r="E52" s="3" t="s">
        <v>236</v>
      </c>
      <c r="F52" s="3" t="s">
        <v>237</v>
      </c>
      <c r="G52" s="5">
        <v>45819.056157407409</v>
      </c>
      <c r="H52" s="10">
        <v>45823</v>
      </c>
      <c r="I52" s="4" t="s">
        <v>29</v>
      </c>
      <c r="J52" s="4" t="s">
        <v>30</v>
      </c>
      <c r="L52" s="4">
        <f t="shared" si="7"/>
        <v>7</v>
      </c>
      <c r="M52" s="35">
        <f t="shared" si="3"/>
        <v>1</v>
      </c>
      <c r="N52" s="4">
        <v>1</v>
      </c>
      <c r="O52" s="4">
        <v>0</v>
      </c>
      <c r="P52" s="35">
        <f t="shared" si="4"/>
        <v>1</v>
      </c>
      <c r="Q52" s="4">
        <v>1</v>
      </c>
      <c r="R52" s="4">
        <v>0</v>
      </c>
      <c r="S52" s="4">
        <f t="shared" si="0"/>
        <v>5</v>
      </c>
      <c r="T52" s="4">
        <v>5</v>
      </c>
      <c r="U52" s="4">
        <v>0</v>
      </c>
      <c r="V52" s="4">
        <v>0</v>
      </c>
      <c r="W52" s="4">
        <v>0</v>
      </c>
      <c r="X52" s="4">
        <v>0</v>
      </c>
      <c r="Y52" s="4">
        <v>0</v>
      </c>
      <c r="Z52" s="4">
        <v>0</v>
      </c>
      <c r="AA52" s="4">
        <v>0</v>
      </c>
      <c r="AB52" s="4">
        <v>0</v>
      </c>
      <c r="AC52" s="4">
        <v>0</v>
      </c>
      <c r="AD52" s="4">
        <v>0</v>
      </c>
      <c r="AE52" s="4">
        <v>0</v>
      </c>
    </row>
    <row r="53" spans="1:31" ht="15.75" customHeight="1">
      <c r="A53" s="2" t="e">
        <f t="shared" si="6"/>
        <v>#REF!</v>
      </c>
      <c r="B53" s="41" t="s">
        <v>238</v>
      </c>
      <c r="C53" s="4" t="s">
        <v>42</v>
      </c>
      <c r="D53" s="14" t="s">
        <v>239</v>
      </c>
      <c r="E53" s="4" t="s">
        <v>177</v>
      </c>
      <c r="F53" s="4" t="s">
        <v>240</v>
      </c>
      <c r="G53" s="6">
        <v>45992.844201388885</v>
      </c>
      <c r="H53" s="7">
        <v>45992</v>
      </c>
      <c r="I53" s="4" t="s">
        <v>29</v>
      </c>
      <c r="J53" s="4" t="s">
        <v>30</v>
      </c>
      <c r="L53" s="4">
        <f t="shared" si="7"/>
        <v>8</v>
      </c>
      <c r="M53" s="35">
        <f t="shared" si="3"/>
        <v>5</v>
      </c>
      <c r="N53" s="4">
        <v>5</v>
      </c>
      <c r="O53" s="4">
        <v>0</v>
      </c>
      <c r="P53" s="35">
        <f t="shared" si="4"/>
        <v>8</v>
      </c>
      <c r="Q53" s="4">
        <v>3</v>
      </c>
      <c r="R53" s="4">
        <v>5</v>
      </c>
      <c r="S53" s="4">
        <f t="shared" si="0"/>
        <v>3</v>
      </c>
      <c r="T53" s="4">
        <v>0</v>
      </c>
      <c r="U53" s="4">
        <v>3</v>
      </c>
      <c r="V53" s="4">
        <v>0</v>
      </c>
      <c r="W53" s="4">
        <v>0</v>
      </c>
      <c r="X53" s="4">
        <v>0</v>
      </c>
      <c r="Y53" s="4">
        <v>0</v>
      </c>
      <c r="Z53" s="4">
        <v>0</v>
      </c>
      <c r="AA53" s="35">
        <v>0</v>
      </c>
      <c r="AB53" s="4">
        <v>0</v>
      </c>
      <c r="AC53" s="4">
        <v>0</v>
      </c>
      <c r="AD53" s="4">
        <v>0</v>
      </c>
      <c r="AE53" s="4">
        <v>0</v>
      </c>
    </row>
    <row r="54" spans="1:31" ht="15.75" customHeight="1">
      <c r="A54" s="2" t="e">
        <f t="shared" si="6"/>
        <v>#REF!</v>
      </c>
      <c r="B54" s="35" t="s">
        <v>241</v>
      </c>
      <c r="C54" s="4" t="s">
        <v>38</v>
      </c>
      <c r="D54" s="21" t="s">
        <v>242</v>
      </c>
      <c r="E54" s="4" t="s">
        <v>243</v>
      </c>
      <c r="F54" s="4" t="s">
        <v>244</v>
      </c>
      <c r="G54" s="6">
        <v>45366.572256944448</v>
      </c>
      <c r="H54" s="7">
        <v>46195</v>
      </c>
      <c r="I54" s="4" t="s">
        <v>116</v>
      </c>
      <c r="J54" s="4" t="s">
        <v>30</v>
      </c>
      <c r="K54" s="4" t="s">
        <v>220</v>
      </c>
      <c r="L54" s="4">
        <f t="shared" si="7"/>
        <v>4</v>
      </c>
      <c r="M54" s="4">
        <f t="shared" si="3"/>
        <v>0</v>
      </c>
      <c r="N54" s="4">
        <v>0</v>
      </c>
      <c r="O54" s="4">
        <v>0</v>
      </c>
      <c r="P54" s="35">
        <f t="shared" si="4"/>
        <v>1</v>
      </c>
      <c r="Q54" s="4">
        <v>1</v>
      </c>
      <c r="R54" s="4">
        <v>0</v>
      </c>
      <c r="S54" s="4">
        <f t="shared" si="0"/>
        <v>3</v>
      </c>
      <c r="T54" s="4">
        <v>3</v>
      </c>
      <c r="U54" s="4">
        <v>0</v>
      </c>
      <c r="V54" s="4">
        <v>0</v>
      </c>
      <c r="W54" s="4">
        <v>0</v>
      </c>
      <c r="X54" s="4">
        <v>0</v>
      </c>
      <c r="Y54" s="4">
        <v>0</v>
      </c>
      <c r="Z54" s="4">
        <v>0</v>
      </c>
      <c r="AA54" s="4">
        <v>0</v>
      </c>
      <c r="AB54" s="4">
        <v>0</v>
      </c>
      <c r="AC54" s="4">
        <v>0</v>
      </c>
      <c r="AD54" s="4">
        <v>0</v>
      </c>
      <c r="AE54" s="4">
        <v>0</v>
      </c>
    </row>
    <row r="55" spans="1:31" ht="15.75" customHeight="1">
      <c r="A55" s="2" t="e">
        <f t="shared" si="6"/>
        <v>#REF!</v>
      </c>
      <c r="B55" s="35" t="s">
        <v>245</v>
      </c>
      <c r="C55" s="4" t="s">
        <v>51</v>
      </c>
      <c r="D55" s="14" t="s">
        <v>246</v>
      </c>
      <c r="E55" s="4" t="s">
        <v>247</v>
      </c>
      <c r="F55" s="4" t="s">
        <v>248</v>
      </c>
      <c r="G55" s="6">
        <v>46023.94804398148</v>
      </c>
      <c r="H55" s="7">
        <v>46362</v>
      </c>
      <c r="I55" s="3" t="s">
        <v>36</v>
      </c>
      <c r="J55" s="4" t="s">
        <v>30</v>
      </c>
      <c r="L55" s="4">
        <f t="shared" si="7"/>
        <v>8</v>
      </c>
      <c r="M55" s="35">
        <f t="shared" si="3"/>
        <v>3</v>
      </c>
      <c r="N55" s="4">
        <v>3</v>
      </c>
      <c r="O55" s="4">
        <v>0</v>
      </c>
      <c r="P55" s="35">
        <f t="shared" si="4"/>
        <v>3</v>
      </c>
      <c r="Q55" s="4">
        <v>3</v>
      </c>
      <c r="R55" s="4">
        <v>0</v>
      </c>
      <c r="S55" s="4">
        <f t="shared" si="0"/>
        <v>0</v>
      </c>
      <c r="T55" s="4">
        <v>0</v>
      </c>
      <c r="U55" s="4">
        <v>0</v>
      </c>
      <c r="V55" s="35">
        <v>2</v>
      </c>
      <c r="W55" s="4">
        <v>0</v>
      </c>
      <c r="X55" s="4">
        <v>0</v>
      </c>
      <c r="Y55" s="4">
        <v>0</v>
      </c>
      <c r="Z55" s="4">
        <v>0</v>
      </c>
      <c r="AA55" s="4">
        <v>0</v>
      </c>
      <c r="AB55" s="4">
        <v>0</v>
      </c>
      <c r="AC55" s="4">
        <v>0</v>
      </c>
      <c r="AD55" s="4">
        <v>0</v>
      </c>
      <c r="AE55" s="4">
        <v>0</v>
      </c>
    </row>
    <row r="56" spans="1:31" ht="15.75" customHeight="1">
      <c r="A56" s="2" t="e">
        <f t="shared" si="6"/>
        <v>#REF!</v>
      </c>
      <c r="B56" s="35" t="s">
        <v>249</v>
      </c>
      <c r="C56" s="4" t="s">
        <v>38</v>
      </c>
      <c r="D56" s="14" t="s">
        <v>250</v>
      </c>
      <c r="E56" s="4" t="s">
        <v>251</v>
      </c>
      <c r="F56" s="4" t="s">
        <v>252</v>
      </c>
      <c r="G56" s="5">
        <v>46022.147847222222</v>
      </c>
      <c r="H56" s="10"/>
      <c r="I56" s="4" t="s">
        <v>29</v>
      </c>
      <c r="J56" s="4" t="s">
        <v>30</v>
      </c>
      <c r="L56" s="4">
        <f t="shared" si="7"/>
        <v>15</v>
      </c>
      <c r="M56" s="35">
        <f t="shared" si="3"/>
        <v>4</v>
      </c>
      <c r="N56" s="4">
        <v>4</v>
      </c>
      <c r="O56" s="4">
        <v>0</v>
      </c>
      <c r="P56" s="35">
        <f t="shared" si="4"/>
        <v>4</v>
      </c>
      <c r="Q56" s="4">
        <v>4</v>
      </c>
      <c r="R56" s="4">
        <v>0</v>
      </c>
      <c r="S56" s="4">
        <f t="shared" si="0"/>
        <v>7</v>
      </c>
      <c r="T56" s="4">
        <v>7</v>
      </c>
      <c r="U56" s="4">
        <v>0</v>
      </c>
      <c r="V56" s="4">
        <v>0</v>
      </c>
      <c r="W56" s="4">
        <v>0</v>
      </c>
      <c r="X56" s="4">
        <v>0</v>
      </c>
      <c r="Y56" s="4">
        <v>0</v>
      </c>
      <c r="Z56" s="4">
        <v>0</v>
      </c>
      <c r="AA56" s="4">
        <v>0</v>
      </c>
      <c r="AB56" s="4">
        <v>0</v>
      </c>
      <c r="AC56" s="4">
        <v>0</v>
      </c>
      <c r="AD56" s="4">
        <v>0</v>
      </c>
      <c r="AE56" s="4">
        <v>0</v>
      </c>
    </row>
    <row r="57" spans="1:31" ht="15.75" customHeight="1">
      <c r="A57" s="2" t="e">
        <f t="shared" si="6"/>
        <v>#REF!</v>
      </c>
      <c r="B57" s="35" t="s">
        <v>253</v>
      </c>
      <c r="C57" s="4" t="s">
        <v>117</v>
      </c>
      <c r="D57" s="12" t="s">
        <v>254</v>
      </c>
      <c r="E57" s="4" t="s">
        <v>255</v>
      </c>
      <c r="F57" s="4" t="s">
        <v>256</v>
      </c>
      <c r="G57" s="5">
        <v>45894.842407407406</v>
      </c>
      <c r="H57" s="10">
        <v>46202</v>
      </c>
      <c r="I57" s="4" t="s">
        <v>29</v>
      </c>
      <c r="J57" s="4" t="s">
        <v>30</v>
      </c>
      <c r="K57" s="4" t="s">
        <v>257</v>
      </c>
      <c r="L57" s="4">
        <f t="shared" si="7"/>
        <v>52</v>
      </c>
      <c r="M57" s="35">
        <f t="shared" si="3"/>
        <v>9</v>
      </c>
      <c r="N57" s="4">
        <v>7</v>
      </c>
      <c r="O57" s="4">
        <v>2</v>
      </c>
      <c r="P57" s="35">
        <f t="shared" si="4"/>
        <v>18</v>
      </c>
      <c r="Q57" s="4">
        <v>18</v>
      </c>
      <c r="R57" s="4">
        <v>0</v>
      </c>
      <c r="S57" s="4">
        <f t="shared" si="0"/>
        <v>35</v>
      </c>
      <c r="T57" s="4">
        <v>27</v>
      </c>
      <c r="U57" s="4">
        <v>8</v>
      </c>
      <c r="V57" s="4">
        <v>0</v>
      </c>
      <c r="W57" s="4">
        <v>0</v>
      </c>
      <c r="X57" s="4">
        <v>0</v>
      </c>
      <c r="Y57" s="4">
        <v>0</v>
      </c>
      <c r="Z57" s="4">
        <v>0</v>
      </c>
      <c r="AA57" s="4">
        <v>0</v>
      </c>
      <c r="AB57" s="4">
        <v>0</v>
      </c>
      <c r="AC57" s="4">
        <v>0</v>
      </c>
      <c r="AD57" s="4">
        <v>0</v>
      </c>
      <c r="AE57" s="4">
        <v>0</v>
      </c>
    </row>
    <row r="58" spans="1:31" ht="15.75" customHeight="1">
      <c r="A58" s="2" t="e">
        <f t="shared" si="6"/>
        <v>#REF!</v>
      </c>
      <c r="B58" s="35" t="s">
        <v>258</v>
      </c>
      <c r="C58" s="4" t="s">
        <v>42</v>
      </c>
      <c r="D58" s="11" t="s">
        <v>259</v>
      </c>
      <c r="E58" s="3" t="s">
        <v>190</v>
      </c>
      <c r="F58" s="3" t="s">
        <v>260</v>
      </c>
      <c r="G58" s="5"/>
      <c r="H58" s="10"/>
      <c r="I58" s="4" t="s">
        <v>29</v>
      </c>
      <c r="J58" s="4" t="s">
        <v>47</v>
      </c>
      <c r="K58" s="4" t="s">
        <v>261</v>
      </c>
      <c r="L58" s="4">
        <f t="shared" si="7"/>
        <v>4</v>
      </c>
      <c r="M58" s="4">
        <f t="shared" si="3"/>
        <v>2</v>
      </c>
      <c r="N58" s="4">
        <v>2</v>
      </c>
      <c r="O58" s="4">
        <v>0</v>
      </c>
      <c r="P58" s="4">
        <f t="shared" si="4"/>
        <v>2</v>
      </c>
      <c r="Q58" s="4">
        <v>2</v>
      </c>
      <c r="R58" s="4">
        <v>0</v>
      </c>
      <c r="S58" s="4">
        <f t="shared" si="0"/>
        <v>6</v>
      </c>
      <c r="T58" s="4">
        <v>0</v>
      </c>
      <c r="U58" s="4">
        <v>6</v>
      </c>
      <c r="V58" s="4">
        <v>0</v>
      </c>
      <c r="W58" s="4">
        <v>0</v>
      </c>
      <c r="X58" s="4">
        <v>0</v>
      </c>
      <c r="Y58" s="4">
        <v>0</v>
      </c>
      <c r="Z58" s="4">
        <v>0</v>
      </c>
      <c r="AA58" s="4">
        <v>0</v>
      </c>
      <c r="AB58" s="4">
        <v>0</v>
      </c>
      <c r="AC58" s="4">
        <v>0</v>
      </c>
      <c r="AD58" s="4">
        <v>0</v>
      </c>
      <c r="AE58" s="4">
        <v>0</v>
      </c>
    </row>
    <row r="59" spans="1:31" ht="15.75" customHeight="1">
      <c r="A59" s="17" t="e">
        <f t="shared" si="6"/>
        <v>#REF!</v>
      </c>
      <c r="B59" s="23" t="s">
        <v>262</v>
      </c>
      <c r="C59" s="32" t="s">
        <v>338</v>
      </c>
      <c r="D59" s="30" t="s">
        <v>337</v>
      </c>
      <c r="E59" s="3"/>
      <c r="F59" s="3"/>
      <c r="G59" s="6">
        <v>43964</v>
      </c>
      <c r="H59" s="10">
        <v>45129</v>
      </c>
      <c r="I59" s="4" t="s">
        <v>36</v>
      </c>
      <c r="J59" s="4" t="s">
        <v>47</v>
      </c>
      <c r="L59" s="4">
        <f t="shared" si="7"/>
        <v>11</v>
      </c>
      <c r="M59" s="4">
        <f t="shared" si="3"/>
        <v>0</v>
      </c>
      <c r="N59" s="4">
        <v>0</v>
      </c>
      <c r="O59" s="4">
        <v>0</v>
      </c>
      <c r="P59" s="4">
        <v>4</v>
      </c>
      <c r="Q59" s="4">
        <v>4</v>
      </c>
      <c r="R59" s="4">
        <v>0</v>
      </c>
      <c r="S59" s="4">
        <v>7</v>
      </c>
      <c r="T59" s="4">
        <v>7</v>
      </c>
      <c r="U59" s="4">
        <v>0</v>
      </c>
      <c r="V59" s="4">
        <v>0</v>
      </c>
      <c r="W59" s="4">
        <v>0</v>
      </c>
      <c r="X59" s="4">
        <v>0</v>
      </c>
      <c r="Y59" s="4">
        <v>0</v>
      </c>
      <c r="Z59" s="4">
        <v>0</v>
      </c>
      <c r="AA59" s="4">
        <v>0</v>
      </c>
      <c r="AB59" s="4">
        <v>0</v>
      </c>
      <c r="AC59" s="4">
        <v>0</v>
      </c>
      <c r="AD59" s="4">
        <v>0</v>
      </c>
      <c r="AE59" s="4">
        <v>0</v>
      </c>
    </row>
    <row r="60" spans="1:31" ht="15.75" customHeight="1">
      <c r="A60" s="17" t="e">
        <f t="shared" si="6"/>
        <v>#REF!</v>
      </c>
      <c r="B60" s="23" t="s">
        <v>263</v>
      </c>
      <c r="C60" s="4"/>
      <c r="D60" s="3"/>
      <c r="E60" s="3"/>
      <c r="F60" s="3"/>
      <c r="G60" s="5">
        <v>43193</v>
      </c>
      <c r="H60" s="10">
        <v>46115</v>
      </c>
      <c r="I60" s="4" t="s">
        <v>36</v>
      </c>
      <c r="J60" s="4" t="s">
        <v>47</v>
      </c>
      <c r="L60" s="4">
        <f t="shared" si="7"/>
        <v>0</v>
      </c>
      <c r="M60" s="4">
        <f t="shared" si="3"/>
        <v>0</v>
      </c>
      <c r="N60" s="4">
        <v>0</v>
      </c>
      <c r="O60" s="4">
        <v>0</v>
      </c>
      <c r="P60" s="4">
        <f t="shared" si="4"/>
        <v>0</v>
      </c>
      <c r="Q60" s="4">
        <v>0</v>
      </c>
      <c r="R60" s="4">
        <v>0</v>
      </c>
      <c r="S60" s="4">
        <f t="shared" si="0"/>
        <v>0</v>
      </c>
      <c r="T60" s="4">
        <v>0</v>
      </c>
      <c r="U60" s="4">
        <v>0</v>
      </c>
      <c r="V60" s="4">
        <v>0</v>
      </c>
      <c r="W60" s="4">
        <v>0</v>
      </c>
      <c r="X60" s="4">
        <v>0</v>
      </c>
      <c r="Y60" s="4">
        <v>0</v>
      </c>
      <c r="Z60" s="4">
        <v>0</v>
      </c>
      <c r="AA60" s="4">
        <v>0</v>
      </c>
      <c r="AB60" s="4">
        <v>0</v>
      </c>
      <c r="AC60" s="4">
        <v>0</v>
      </c>
      <c r="AD60" s="4">
        <v>0</v>
      </c>
      <c r="AE60" s="4">
        <v>0</v>
      </c>
    </row>
    <row r="61" spans="1:31" ht="15.75" customHeight="1">
      <c r="A61" s="2" t="e">
        <f t="shared" si="6"/>
        <v>#REF!</v>
      </c>
      <c r="B61" s="4" t="s">
        <v>264</v>
      </c>
      <c r="C61" s="4"/>
      <c r="D61" s="3"/>
      <c r="E61" s="3"/>
      <c r="F61" s="3"/>
      <c r="G61" s="5">
        <v>44531</v>
      </c>
      <c r="H61" s="10">
        <v>46357</v>
      </c>
      <c r="I61" s="4" t="s">
        <v>36</v>
      </c>
      <c r="J61" s="4" t="s">
        <v>47</v>
      </c>
      <c r="L61" s="4">
        <f t="shared" si="7"/>
        <v>0</v>
      </c>
      <c r="M61" s="4">
        <f t="shared" si="3"/>
        <v>0</v>
      </c>
      <c r="N61" s="4">
        <v>0</v>
      </c>
      <c r="O61" s="4">
        <v>0</v>
      </c>
      <c r="P61" s="4">
        <f t="shared" si="4"/>
        <v>0</v>
      </c>
      <c r="Q61" s="4">
        <v>0</v>
      </c>
      <c r="R61" s="4">
        <v>0</v>
      </c>
      <c r="S61" s="4">
        <f t="shared" si="0"/>
        <v>0</v>
      </c>
      <c r="T61" s="4">
        <v>0</v>
      </c>
      <c r="U61" s="4">
        <v>0</v>
      </c>
      <c r="V61" s="4">
        <v>0</v>
      </c>
      <c r="W61" s="4">
        <v>0</v>
      </c>
      <c r="X61" s="4">
        <v>0</v>
      </c>
      <c r="Y61" s="4">
        <v>0</v>
      </c>
      <c r="Z61" s="4">
        <v>0</v>
      </c>
      <c r="AA61" s="4">
        <v>0</v>
      </c>
      <c r="AB61" s="4">
        <v>0</v>
      </c>
      <c r="AC61" s="4">
        <v>0</v>
      </c>
      <c r="AD61" s="4">
        <v>0</v>
      </c>
      <c r="AE61" s="4">
        <v>0</v>
      </c>
    </row>
    <row r="62" spans="1:31" ht="15.75" customHeight="1">
      <c r="A62" s="2" t="e">
        <f t="shared" si="6"/>
        <v>#REF!</v>
      </c>
      <c r="B62" s="35" t="s">
        <v>265</v>
      </c>
      <c r="C62" s="4" t="s">
        <v>42</v>
      </c>
      <c r="D62" s="11" t="s">
        <v>266</v>
      </c>
      <c r="E62" s="4" t="s">
        <v>65</v>
      </c>
      <c r="F62" s="3" t="s">
        <v>267</v>
      </c>
      <c r="G62" s="5">
        <v>44824</v>
      </c>
      <c r="H62" s="10">
        <v>46280</v>
      </c>
      <c r="I62" s="4" t="s">
        <v>36</v>
      </c>
      <c r="J62" s="4" t="s">
        <v>30</v>
      </c>
      <c r="L62" s="4">
        <f t="shared" si="7"/>
        <v>13</v>
      </c>
      <c r="M62" s="35">
        <f t="shared" si="3"/>
        <v>3</v>
      </c>
      <c r="N62" s="4">
        <v>3</v>
      </c>
      <c r="O62" s="4">
        <v>0</v>
      </c>
      <c r="P62" s="35">
        <f t="shared" si="4"/>
        <v>3</v>
      </c>
      <c r="Q62" s="4">
        <v>3</v>
      </c>
      <c r="R62" s="4">
        <v>0</v>
      </c>
      <c r="S62" s="4">
        <f t="shared" si="0"/>
        <v>8</v>
      </c>
      <c r="T62" s="4">
        <v>7</v>
      </c>
      <c r="U62" s="4">
        <v>1</v>
      </c>
      <c r="V62" s="4">
        <v>0</v>
      </c>
      <c r="W62" s="4">
        <v>0</v>
      </c>
      <c r="X62" s="4">
        <v>0</v>
      </c>
      <c r="Y62" s="4">
        <v>0</v>
      </c>
      <c r="Z62" s="4">
        <v>0</v>
      </c>
      <c r="AA62" s="4">
        <v>0</v>
      </c>
      <c r="AB62" s="4">
        <v>0</v>
      </c>
      <c r="AC62" s="4">
        <v>0</v>
      </c>
      <c r="AD62" s="4">
        <v>0</v>
      </c>
      <c r="AE62" s="4">
        <v>0</v>
      </c>
    </row>
    <row r="63" spans="1:31" ht="15.75" customHeight="1">
      <c r="A63" s="2" t="e">
        <f t="shared" si="6"/>
        <v>#REF!</v>
      </c>
      <c r="B63" s="37" t="s">
        <v>268</v>
      </c>
      <c r="C63" s="4"/>
      <c r="D63" s="24" t="s">
        <v>269</v>
      </c>
      <c r="E63" s="3"/>
      <c r="F63" s="3"/>
      <c r="G63" s="5">
        <v>44890</v>
      </c>
      <c r="H63" s="10">
        <v>45986</v>
      </c>
      <c r="I63" s="4" t="s">
        <v>36</v>
      </c>
      <c r="J63" s="4" t="s">
        <v>30</v>
      </c>
      <c r="L63" s="4">
        <f t="shared" si="7"/>
        <v>0</v>
      </c>
      <c r="M63" s="4">
        <f t="shared" si="3"/>
        <v>0</v>
      </c>
      <c r="N63" s="4">
        <v>0</v>
      </c>
      <c r="O63" s="4">
        <v>0</v>
      </c>
      <c r="P63" s="4">
        <f t="shared" si="4"/>
        <v>0</v>
      </c>
      <c r="Q63" s="4">
        <v>0</v>
      </c>
      <c r="R63" s="4">
        <v>0</v>
      </c>
      <c r="S63" s="4">
        <f t="shared" si="0"/>
        <v>0</v>
      </c>
      <c r="T63" s="4">
        <v>0</v>
      </c>
      <c r="U63" s="4">
        <v>0</v>
      </c>
      <c r="V63" s="4">
        <v>0</v>
      </c>
      <c r="W63" s="4">
        <v>0</v>
      </c>
      <c r="X63" s="4">
        <v>0</v>
      </c>
      <c r="Y63" s="4">
        <v>0</v>
      </c>
      <c r="Z63" s="4">
        <v>0</v>
      </c>
      <c r="AA63" s="4">
        <v>0</v>
      </c>
      <c r="AB63" s="4">
        <v>0</v>
      </c>
      <c r="AC63" s="4">
        <v>0</v>
      </c>
      <c r="AD63" s="4">
        <v>0</v>
      </c>
      <c r="AE63" s="4">
        <v>0</v>
      </c>
    </row>
    <row r="64" spans="1:31" ht="15.75" customHeight="1">
      <c r="A64" s="2" t="e">
        <f t="shared" si="6"/>
        <v>#REF!</v>
      </c>
      <c r="B64" s="35" t="s">
        <v>270</v>
      </c>
      <c r="C64" s="4" t="s">
        <v>271</v>
      </c>
      <c r="D64" s="24" t="s">
        <v>272</v>
      </c>
      <c r="E64" s="4" t="s">
        <v>273</v>
      </c>
      <c r="F64" s="3" t="s">
        <v>274</v>
      </c>
      <c r="G64" s="5">
        <v>44927</v>
      </c>
      <c r="H64" s="7">
        <v>46388</v>
      </c>
      <c r="I64" s="4" t="s">
        <v>36</v>
      </c>
      <c r="J64" s="4" t="s">
        <v>30</v>
      </c>
      <c r="L64" s="4">
        <v>18</v>
      </c>
      <c r="M64" s="35">
        <f t="shared" si="3"/>
        <v>2</v>
      </c>
      <c r="N64" s="4">
        <v>2</v>
      </c>
      <c r="O64" s="4">
        <v>0</v>
      </c>
      <c r="P64" s="35">
        <f t="shared" si="4"/>
        <v>6</v>
      </c>
      <c r="Q64" s="4">
        <v>6</v>
      </c>
      <c r="R64" s="4">
        <v>0</v>
      </c>
      <c r="S64" s="4">
        <v>10</v>
      </c>
      <c r="T64" s="4">
        <v>10</v>
      </c>
      <c r="U64" s="4">
        <v>0</v>
      </c>
      <c r="V64" s="4">
        <v>0</v>
      </c>
      <c r="W64" s="4">
        <v>0</v>
      </c>
      <c r="X64" s="4">
        <v>0</v>
      </c>
      <c r="Y64" s="4">
        <v>0</v>
      </c>
      <c r="Z64" s="4">
        <v>0</v>
      </c>
      <c r="AA64" s="4">
        <v>0</v>
      </c>
      <c r="AB64" s="4">
        <v>0</v>
      </c>
      <c r="AC64" s="4">
        <v>0</v>
      </c>
      <c r="AD64" s="4">
        <v>0</v>
      </c>
      <c r="AE64" s="4">
        <v>0</v>
      </c>
    </row>
    <row r="65" spans="1:31" ht="15.75" customHeight="1">
      <c r="A65" s="17" t="e">
        <f>#REF!+1</f>
        <v>#REF!</v>
      </c>
      <c r="B65" s="38" t="s">
        <v>275</v>
      </c>
      <c r="C65" s="4"/>
      <c r="D65" s="3"/>
      <c r="E65" s="3"/>
      <c r="F65" s="3"/>
      <c r="G65" s="5">
        <v>44539</v>
      </c>
      <c r="H65" s="10">
        <v>46000</v>
      </c>
      <c r="I65" s="4" t="s">
        <v>36</v>
      </c>
      <c r="J65" s="4" t="s">
        <v>47</v>
      </c>
      <c r="L65" s="4">
        <f t="shared" si="7"/>
        <v>0</v>
      </c>
      <c r="M65" s="4">
        <f t="shared" si="3"/>
        <v>0</v>
      </c>
      <c r="N65" s="4">
        <v>0</v>
      </c>
      <c r="O65" s="4">
        <v>0</v>
      </c>
      <c r="P65" s="4">
        <f t="shared" si="4"/>
        <v>0</v>
      </c>
      <c r="Q65" s="4">
        <v>0</v>
      </c>
      <c r="R65" s="4">
        <v>0</v>
      </c>
      <c r="S65" s="4">
        <f t="shared" si="0"/>
        <v>0</v>
      </c>
      <c r="T65" s="4">
        <v>0</v>
      </c>
      <c r="U65" s="4">
        <v>0</v>
      </c>
      <c r="V65" s="4">
        <v>0</v>
      </c>
      <c r="W65" s="4">
        <v>0</v>
      </c>
      <c r="X65" s="4">
        <v>0</v>
      </c>
      <c r="Y65" s="4">
        <v>0</v>
      </c>
      <c r="Z65" s="4">
        <v>0</v>
      </c>
      <c r="AA65" s="4">
        <v>0</v>
      </c>
      <c r="AB65" s="4">
        <v>0</v>
      </c>
      <c r="AC65" s="4">
        <v>0</v>
      </c>
      <c r="AD65" s="4">
        <v>0</v>
      </c>
      <c r="AE65" s="4">
        <v>0</v>
      </c>
    </row>
    <row r="66" spans="1:31" ht="15.75" customHeight="1">
      <c r="A66" s="2" t="e">
        <f t="shared" ref="A66:A78" si="8">A65+1</f>
        <v>#REF!</v>
      </c>
      <c r="B66" s="35" t="s">
        <v>276</v>
      </c>
      <c r="C66" s="4"/>
      <c r="D66" s="3"/>
      <c r="E66" s="3"/>
      <c r="F66" s="3"/>
      <c r="G66" s="5">
        <v>45522</v>
      </c>
      <c r="H66" s="10">
        <v>45887</v>
      </c>
      <c r="I66" s="4" t="s">
        <v>29</v>
      </c>
      <c r="J66" s="4" t="s">
        <v>47</v>
      </c>
      <c r="L66" s="4">
        <f t="shared" si="7"/>
        <v>0</v>
      </c>
      <c r="M66" s="4">
        <f t="shared" si="3"/>
        <v>0</v>
      </c>
      <c r="N66" s="4">
        <v>0</v>
      </c>
      <c r="O66" s="4">
        <v>0</v>
      </c>
      <c r="P66" s="4">
        <f t="shared" si="4"/>
        <v>0</v>
      </c>
      <c r="Q66" s="4">
        <v>0</v>
      </c>
      <c r="R66" s="4">
        <v>0</v>
      </c>
      <c r="S66" s="4">
        <f t="shared" si="0"/>
        <v>0</v>
      </c>
      <c r="T66" s="4">
        <v>0</v>
      </c>
      <c r="U66" s="4">
        <v>0</v>
      </c>
      <c r="V66" s="4">
        <v>0</v>
      </c>
      <c r="W66" s="4">
        <v>0</v>
      </c>
      <c r="X66" s="4">
        <v>0</v>
      </c>
      <c r="Y66" s="4">
        <v>0</v>
      </c>
      <c r="Z66" s="4">
        <v>0</v>
      </c>
      <c r="AA66" s="4">
        <v>0</v>
      </c>
      <c r="AB66" s="4">
        <v>0</v>
      </c>
      <c r="AC66" s="4">
        <v>0</v>
      </c>
      <c r="AD66" s="4">
        <v>0</v>
      </c>
      <c r="AE66" s="4">
        <v>0</v>
      </c>
    </row>
    <row r="67" spans="1:31" ht="45" customHeight="1">
      <c r="A67" s="2" t="e">
        <f t="shared" si="8"/>
        <v>#REF!</v>
      </c>
      <c r="B67" s="35" t="s">
        <v>277</v>
      </c>
      <c r="C67" s="4"/>
      <c r="D67" s="31" t="s">
        <v>352</v>
      </c>
      <c r="E67" s="3"/>
      <c r="F67" s="3"/>
      <c r="G67" s="5">
        <v>44031</v>
      </c>
      <c r="H67" s="10">
        <v>45857</v>
      </c>
      <c r="I67" s="4" t="s">
        <v>36</v>
      </c>
      <c r="J67" s="4" t="s">
        <v>47</v>
      </c>
      <c r="L67" s="4">
        <f t="shared" si="7"/>
        <v>0</v>
      </c>
      <c r="M67" s="4">
        <f t="shared" si="3"/>
        <v>0</v>
      </c>
      <c r="N67" s="4">
        <v>0</v>
      </c>
      <c r="O67" s="4">
        <v>0</v>
      </c>
      <c r="P67" s="4">
        <f t="shared" si="4"/>
        <v>0</v>
      </c>
      <c r="Q67" s="4">
        <v>0</v>
      </c>
      <c r="R67" s="4">
        <v>0</v>
      </c>
      <c r="S67" s="4">
        <f t="shared" si="0"/>
        <v>0</v>
      </c>
      <c r="T67" s="4">
        <v>0</v>
      </c>
      <c r="U67" s="4">
        <v>0</v>
      </c>
      <c r="V67" s="4">
        <v>0</v>
      </c>
      <c r="W67" s="4">
        <v>0</v>
      </c>
      <c r="X67" s="4">
        <v>0</v>
      </c>
      <c r="Y67" s="4">
        <v>0</v>
      </c>
      <c r="Z67" s="4">
        <v>0</v>
      </c>
      <c r="AA67" s="4">
        <v>0</v>
      </c>
      <c r="AB67" s="4">
        <v>0</v>
      </c>
      <c r="AC67" s="4">
        <v>0</v>
      </c>
      <c r="AD67" s="4">
        <v>0</v>
      </c>
      <c r="AE67" s="4">
        <v>0</v>
      </c>
    </row>
    <row r="68" spans="1:31" ht="15.75" customHeight="1">
      <c r="A68" s="2" t="e">
        <f t="shared" si="8"/>
        <v>#REF!</v>
      </c>
      <c r="B68" s="35" t="s">
        <v>278</v>
      </c>
      <c r="C68" s="4" t="s">
        <v>51</v>
      </c>
      <c r="D68" s="18"/>
      <c r="E68" s="3"/>
      <c r="F68" s="3"/>
      <c r="G68" s="5">
        <v>46063</v>
      </c>
      <c r="H68" s="10">
        <v>46210</v>
      </c>
      <c r="I68" s="4" t="s">
        <v>36</v>
      </c>
      <c r="J68" s="4" t="s">
        <v>30</v>
      </c>
      <c r="L68" s="4">
        <f t="shared" si="7"/>
        <v>20</v>
      </c>
      <c r="M68" s="4">
        <f t="shared" si="3"/>
        <v>0</v>
      </c>
      <c r="N68" s="4">
        <v>0</v>
      </c>
      <c r="O68" s="4">
        <v>0</v>
      </c>
      <c r="P68" s="4">
        <f t="shared" si="4"/>
        <v>0</v>
      </c>
      <c r="Q68" s="4">
        <v>0</v>
      </c>
      <c r="R68" s="4">
        <v>0</v>
      </c>
      <c r="S68" s="4">
        <f t="shared" si="0"/>
        <v>0</v>
      </c>
      <c r="T68" s="4">
        <v>0</v>
      </c>
      <c r="U68" s="4">
        <v>0</v>
      </c>
      <c r="V68" s="35">
        <v>20</v>
      </c>
      <c r="W68" s="4">
        <v>0</v>
      </c>
      <c r="X68" s="4">
        <v>0</v>
      </c>
      <c r="Y68" s="4">
        <v>0</v>
      </c>
      <c r="Z68" s="4">
        <v>0</v>
      </c>
      <c r="AA68" s="4">
        <v>0</v>
      </c>
      <c r="AB68" s="4">
        <v>0</v>
      </c>
      <c r="AC68" s="4">
        <v>0</v>
      </c>
      <c r="AD68" s="4">
        <v>0</v>
      </c>
      <c r="AE68" s="4">
        <v>0</v>
      </c>
    </row>
    <row r="69" spans="1:31" ht="15.75" customHeight="1">
      <c r="A69" s="2" t="e">
        <f t="shared" si="8"/>
        <v>#REF!</v>
      </c>
      <c r="B69" s="35" t="s">
        <v>279</v>
      </c>
      <c r="C69" s="4" t="s">
        <v>38</v>
      </c>
      <c r="D69" s="14" t="s">
        <v>280</v>
      </c>
      <c r="E69" s="4" t="s">
        <v>281</v>
      </c>
      <c r="F69" s="13" t="s">
        <v>282</v>
      </c>
      <c r="G69" s="5">
        <v>45917.082129629627</v>
      </c>
      <c r="H69" s="7">
        <v>46213</v>
      </c>
      <c r="I69" s="4" t="s">
        <v>29</v>
      </c>
      <c r="J69" s="4" t="s">
        <v>47</v>
      </c>
      <c r="K69" s="4" t="s">
        <v>283</v>
      </c>
      <c r="L69" s="4">
        <f t="shared" si="7"/>
        <v>5</v>
      </c>
      <c r="M69" s="4">
        <f t="shared" si="3"/>
        <v>1</v>
      </c>
      <c r="N69" s="4">
        <v>1</v>
      </c>
      <c r="O69" s="4">
        <v>0</v>
      </c>
      <c r="P69" s="4">
        <f t="shared" si="4"/>
        <v>1</v>
      </c>
      <c r="Q69" s="4">
        <v>1</v>
      </c>
      <c r="R69" s="4">
        <v>0</v>
      </c>
      <c r="S69" s="4">
        <f t="shared" si="0"/>
        <v>3</v>
      </c>
      <c r="T69" s="4">
        <v>3</v>
      </c>
      <c r="U69" s="4">
        <v>0</v>
      </c>
      <c r="V69" s="4">
        <v>0</v>
      </c>
      <c r="W69" s="4">
        <v>0</v>
      </c>
      <c r="X69" s="4">
        <v>0</v>
      </c>
      <c r="Y69" s="4">
        <v>0</v>
      </c>
      <c r="Z69" s="4">
        <v>0</v>
      </c>
      <c r="AA69" s="4">
        <v>0</v>
      </c>
      <c r="AB69" s="4">
        <v>0</v>
      </c>
      <c r="AC69" s="4">
        <v>0</v>
      </c>
      <c r="AD69" s="4">
        <v>0</v>
      </c>
      <c r="AE69" s="4">
        <v>0</v>
      </c>
    </row>
    <row r="70" spans="1:31" ht="15.75" customHeight="1">
      <c r="A70" s="2" t="e">
        <f t="shared" si="8"/>
        <v>#REF!</v>
      </c>
      <c r="B70" s="35" t="s">
        <v>284</v>
      </c>
      <c r="C70" s="4"/>
      <c r="D70" s="3"/>
      <c r="E70" s="3"/>
      <c r="F70" s="3"/>
      <c r="G70" s="5">
        <v>45895</v>
      </c>
      <c r="H70" s="10">
        <v>46260</v>
      </c>
      <c r="I70" s="4" t="s">
        <v>36</v>
      </c>
      <c r="J70" s="4" t="s">
        <v>30</v>
      </c>
      <c r="L70" s="4">
        <f t="shared" si="7"/>
        <v>0</v>
      </c>
      <c r="M70" s="4">
        <f t="shared" si="3"/>
        <v>0</v>
      </c>
      <c r="N70" s="4">
        <v>0</v>
      </c>
      <c r="O70" s="4">
        <v>0</v>
      </c>
      <c r="P70" s="4">
        <f t="shared" si="4"/>
        <v>0</v>
      </c>
      <c r="Q70" s="4">
        <v>0</v>
      </c>
      <c r="R70" s="4">
        <v>0</v>
      </c>
      <c r="S70" s="4">
        <f t="shared" si="0"/>
        <v>0</v>
      </c>
      <c r="T70" s="4">
        <v>0</v>
      </c>
      <c r="U70" s="4">
        <v>0</v>
      </c>
      <c r="V70" s="4">
        <v>0</v>
      </c>
      <c r="W70" s="4">
        <v>0</v>
      </c>
      <c r="X70" s="4">
        <v>0</v>
      </c>
      <c r="Y70" s="4">
        <v>0</v>
      </c>
      <c r="Z70" s="4">
        <v>0</v>
      </c>
      <c r="AA70" s="4">
        <v>0</v>
      </c>
      <c r="AB70" s="4">
        <v>0</v>
      </c>
      <c r="AC70" s="4">
        <v>0</v>
      </c>
      <c r="AD70" s="4">
        <v>0</v>
      </c>
      <c r="AE70" s="4">
        <v>0</v>
      </c>
    </row>
    <row r="71" spans="1:31" ht="15.75" customHeight="1">
      <c r="A71" s="2" t="e">
        <f t="shared" si="8"/>
        <v>#REF!</v>
      </c>
      <c r="B71" s="20" t="s">
        <v>285</v>
      </c>
      <c r="C71" s="4"/>
      <c r="D71" s="3"/>
      <c r="E71" s="4" t="s">
        <v>286</v>
      </c>
      <c r="F71" s="4" t="s">
        <v>287</v>
      </c>
      <c r="G71" s="5">
        <v>44514</v>
      </c>
      <c r="H71" s="10">
        <v>45256</v>
      </c>
      <c r="I71" s="4" t="s">
        <v>116</v>
      </c>
      <c r="J71" s="4" t="s">
        <v>47</v>
      </c>
      <c r="L71" s="4">
        <f t="shared" si="7"/>
        <v>0</v>
      </c>
      <c r="M71" s="4">
        <f t="shared" si="3"/>
        <v>0</v>
      </c>
      <c r="N71" s="4">
        <v>0</v>
      </c>
      <c r="O71" s="4">
        <v>0</v>
      </c>
      <c r="P71" s="4">
        <f t="shared" si="4"/>
        <v>0</v>
      </c>
      <c r="Q71" s="4">
        <v>0</v>
      </c>
      <c r="R71" s="4">
        <v>0</v>
      </c>
      <c r="S71" s="4">
        <f t="shared" si="0"/>
        <v>0</v>
      </c>
      <c r="T71" s="4">
        <v>0</v>
      </c>
      <c r="U71" s="4">
        <v>0</v>
      </c>
      <c r="V71" s="4">
        <v>0</v>
      </c>
      <c r="W71" s="4">
        <v>0</v>
      </c>
      <c r="X71" s="4">
        <v>0</v>
      </c>
      <c r="Y71" s="4">
        <v>0</v>
      </c>
      <c r="Z71" s="4">
        <v>0</v>
      </c>
      <c r="AA71" s="4">
        <v>0</v>
      </c>
      <c r="AB71" s="4">
        <v>0</v>
      </c>
      <c r="AC71" s="4">
        <v>0</v>
      </c>
      <c r="AD71" s="4">
        <v>0</v>
      </c>
      <c r="AE71" s="4">
        <v>0</v>
      </c>
    </row>
    <row r="72" spans="1:31" ht="15.75" customHeight="1">
      <c r="A72" s="2" t="e">
        <f t="shared" si="8"/>
        <v>#REF!</v>
      </c>
      <c r="B72" s="23" t="s">
        <v>288</v>
      </c>
      <c r="C72" s="4"/>
      <c r="D72" s="3"/>
      <c r="E72" s="3"/>
      <c r="F72" s="3"/>
      <c r="G72" s="5">
        <v>45979</v>
      </c>
      <c r="H72" s="10"/>
      <c r="I72" s="4" t="s">
        <v>116</v>
      </c>
      <c r="J72" s="4" t="s">
        <v>47</v>
      </c>
      <c r="L72" s="4">
        <f t="shared" si="7"/>
        <v>0</v>
      </c>
      <c r="M72" s="4">
        <f t="shared" si="3"/>
        <v>0</v>
      </c>
      <c r="N72" s="4">
        <v>0</v>
      </c>
      <c r="O72" s="4">
        <v>0</v>
      </c>
      <c r="P72" s="4">
        <f t="shared" si="4"/>
        <v>0</v>
      </c>
      <c r="Q72" s="4">
        <v>0</v>
      </c>
      <c r="R72" s="4">
        <v>0</v>
      </c>
      <c r="S72" s="4">
        <f t="shared" si="0"/>
        <v>0</v>
      </c>
      <c r="T72" s="4">
        <v>0</v>
      </c>
      <c r="U72" s="4">
        <v>0</v>
      </c>
      <c r="V72" s="4">
        <v>0</v>
      </c>
      <c r="W72" s="4"/>
      <c r="X72" s="4"/>
      <c r="Y72" s="4"/>
      <c r="Z72" s="4"/>
      <c r="AA72" s="4"/>
      <c r="AB72" s="4"/>
      <c r="AC72" s="4"/>
      <c r="AD72" s="4"/>
      <c r="AE72" s="4"/>
    </row>
    <row r="73" spans="1:31" ht="15.75" customHeight="1">
      <c r="A73" s="2" t="e">
        <f t="shared" si="8"/>
        <v>#REF!</v>
      </c>
      <c r="B73" s="23" t="s">
        <v>289</v>
      </c>
      <c r="C73" s="4"/>
      <c r="D73" s="3"/>
      <c r="E73" s="3"/>
      <c r="F73" s="3"/>
      <c r="G73" s="5">
        <v>45980</v>
      </c>
      <c r="H73" s="10"/>
      <c r="I73" s="4" t="s">
        <v>116</v>
      </c>
      <c r="J73" s="4" t="s">
        <v>47</v>
      </c>
      <c r="L73" s="4">
        <f t="shared" si="7"/>
        <v>0</v>
      </c>
      <c r="M73" s="4">
        <f t="shared" si="3"/>
        <v>0</v>
      </c>
      <c r="N73" s="4">
        <v>0</v>
      </c>
      <c r="O73" s="4">
        <v>0</v>
      </c>
      <c r="P73" s="4">
        <f t="shared" si="4"/>
        <v>0</v>
      </c>
      <c r="Q73" s="4">
        <v>0</v>
      </c>
      <c r="R73" s="4">
        <v>0</v>
      </c>
      <c r="S73" s="4">
        <f t="shared" si="0"/>
        <v>0</v>
      </c>
      <c r="T73" s="4">
        <v>0</v>
      </c>
      <c r="U73" s="4">
        <v>0</v>
      </c>
      <c r="V73" s="4">
        <v>0</v>
      </c>
      <c r="W73" s="4"/>
      <c r="X73" s="4"/>
      <c r="Y73" s="4"/>
      <c r="Z73" s="4"/>
      <c r="AA73" s="4"/>
      <c r="AB73" s="4"/>
      <c r="AC73" s="4"/>
      <c r="AD73" s="4"/>
      <c r="AE73" s="4"/>
    </row>
    <row r="74" spans="1:31" ht="15.75" customHeight="1">
      <c r="A74" s="2" t="e">
        <f t="shared" si="8"/>
        <v>#REF!</v>
      </c>
      <c r="B74" s="20" t="s">
        <v>290</v>
      </c>
      <c r="C74" s="4"/>
      <c r="D74" s="3"/>
      <c r="E74" s="3"/>
      <c r="F74" s="3"/>
      <c r="G74" s="5">
        <v>45980</v>
      </c>
      <c r="H74" s="10">
        <v>46010</v>
      </c>
      <c r="I74" s="4" t="s">
        <v>116</v>
      </c>
      <c r="J74" s="4" t="s">
        <v>47</v>
      </c>
      <c r="L74" s="4">
        <f t="shared" si="7"/>
        <v>0</v>
      </c>
      <c r="M74" s="4">
        <f t="shared" si="3"/>
        <v>0</v>
      </c>
      <c r="N74" s="4">
        <v>0</v>
      </c>
      <c r="O74" s="4">
        <v>0</v>
      </c>
      <c r="P74" s="4">
        <f t="shared" si="4"/>
        <v>0</v>
      </c>
      <c r="Q74" s="4">
        <v>0</v>
      </c>
      <c r="R74" s="4">
        <v>0</v>
      </c>
      <c r="S74" s="4">
        <f t="shared" si="0"/>
        <v>0</v>
      </c>
      <c r="T74" s="4">
        <v>0</v>
      </c>
      <c r="U74" s="4">
        <v>0</v>
      </c>
      <c r="V74" s="4">
        <v>0</v>
      </c>
      <c r="W74" s="4">
        <v>0</v>
      </c>
      <c r="X74" s="4">
        <v>0</v>
      </c>
      <c r="Y74" s="4">
        <v>0</v>
      </c>
      <c r="Z74" s="4">
        <v>0</v>
      </c>
      <c r="AA74" s="4">
        <v>0</v>
      </c>
      <c r="AB74" s="4">
        <v>0</v>
      </c>
      <c r="AC74" s="4">
        <v>0</v>
      </c>
      <c r="AD74" s="4">
        <v>0</v>
      </c>
      <c r="AE74" s="4">
        <v>0</v>
      </c>
    </row>
    <row r="75" spans="1:31" ht="28.5" customHeight="1">
      <c r="A75" s="2" t="e">
        <f t="shared" si="8"/>
        <v>#REF!</v>
      </c>
      <c r="B75" s="35" t="s">
        <v>291</v>
      </c>
      <c r="C75" s="4"/>
      <c r="D75" s="3"/>
      <c r="E75" s="3"/>
      <c r="F75" s="3"/>
      <c r="G75" s="5">
        <v>45770</v>
      </c>
      <c r="H75" s="10">
        <v>45963</v>
      </c>
      <c r="I75" s="4" t="s">
        <v>116</v>
      </c>
      <c r="J75" s="4" t="s">
        <v>47</v>
      </c>
      <c r="L75" s="4">
        <f t="shared" si="7"/>
        <v>0</v>
      </c>
      <c r="M75" s="4">
        <f t="shared" si="3"/>
        <v>0</v>
      </c>
      <c r="N75" s="4">
        <v>0</v>
      </c>
      <c r="O75" s="4">
        <v>0</v>
      </c>
      <c r="P75" s="4">
        <f t="shared" si="4"/>
        <v>0</v>
      </c>
      <c r="Q75" s="4">
        <v>0</v>
      </c>
      <c r="R75" s="4">
        <v>0</v>
      </c>
      <c r="S75" s="4">
        <f t="shared" si="0"/>
        <v>0</v>
      </c>
      <c r="T75" s="4">
        <v>0</v>
      </c>
      <c r="U75" s="4">
        <v>0</v>
      </c>
      <c r="V75" s="4">
        <v>0</v>
      </c>
      <c r="W75" s="4">
        <v>0</v>
      </c>
      <c r="X75" s="4">
        <v>0</v>
      </c>
      <c r="Y75" s="4">
        <v>0</v>
      </c>
      <c r="Z75" s="4">
        <v>0</v>
      </c>
      <c r="AA75" s="4">
        <v>0</v>
      </c>
      <c r="AB75" s="4">
        <v>0</v>
      </c>
      <c r="AC75" s="4">
        <v>0</v>
      </c>
      <c r="AD75" s="4">
        <v>0</v>
      </c>
      <c r="AE75" s="4">
        <v>0</v>
      </c>
    </row>
    <row r="76" spans="1:31" ht="23.25" customHeight="1">
      <c r="A76" s="2" t="e">
        <f t="shared" si="8"/>
        <v>#REF!</v>
      </c>
      <c r="B76" s="35" t="s">
        <v>292</v>
      </c>
      <c r="C76" s="4" t="s">
        <v>38</v>
      </c>
      <c r="D76" s="11" t="s">
        <v>293</v>
      </c>
      <c r="E76" s="4" t="s">
        <v>294</v>
      </c>
      <c r="F76" s="3" t="s">
        <v>295</v>
      </c>
      <c r="G76" s="5">
        <v>46347.082129629627</v>
      </c>
      <c r="H76" s="7">
        <v>46346</v>
      </c>
      <c r="I76" s="4" t="s">
        <v>29</v>
      </c>
      <c r="J76" s="4" t="s">
        <v>30</v>
      </c>
      <c r="L76" s="4">
        <f t="shared" si="7"/>
        <v>3</v>
      </c>
      <c r="M76" s="35">
        <f t="shared" si="3"/>
        <v>1</v>
      </c>
      <c r="N76" s="4">
        <v>1</v>
      </c>
      <c r="O76" s="4">
        <v>0</v>
      </c>
      <c r="P76" s="35">
        <f t="shared" si="4"/>
        <v>1</v>
      </c>
      <c r="Q76" s="4">
        <v>1</v>
      </c>
      <c r="R76" s="4">
        <v>0</v>
      </c>
      <c r="S76" s="4">
        <f t="shared" si="0"/>
        <v>1</v>
      </c>
      <c r="T76" s="4">
        <v>1</v>
      </c>
      <c r="U76" s="4">
        <v>0</v>
      </c>
      <c r="V76" s="4">
        <v>0</v>
      </c>
      <c r="W76" s="4">
        <v>0</v>
      </c>
      <c r="X76" s="4">
        <v>0</v>
      </c>
      <c r="Y76" s="4">
        <v>0</v>
      </c>
      <c r="Z76" s="4">
        <v>0</v>
      </c>
      <c r="AA76" s="4">
        <v>0</v>
      </c>
      <c r="AB76" s="4">
        <v>0</v>
      </c>
      <c r="AC76" s="4">
        <v>0</v>
      </c>
      <c r="AD76" s="4">
        <v>0</v>
      </c>
      <c r="AE76" s="4">
        <v>0</v>
      </c>
    </row>
    <row r="77" spans="1:31" ht="23.25" customHeight="1">
      <c r="A77" s="2" t="e">
        <f t="shared" si="8"/>
        <v>#REF!</v>
      </c>
      <c r="B77" s="35" t="s">
        <v>296</v>
      </c>
      <c r="C77" s="4" t="s">
        <v>38</v>
      </c>
      <c r="D77" s="11" t="s">
        <v>297</v>
      </c>
      <c r="E77" s="4" t="s">
        <v>298</v>
      </c>
      <c r="F77" s="3" t="s">
        <v>299</v>
      </c>
      <c r="G77" s="5">
        <v>46146</v>
      </c>
      <c r="H77" s="7">
        <v>46511</v>
      </c>
      <c r="I77" s="4" t="s">
        <v>36</v>
      </c>
      <c r="J77" s="4" t="s">
        <v>30</v>
      </c>
      <c r="L77" s="4">
        <f t="shared" si="7"/>
        <v>9</v>
      </c>
      <c r="M77" s="35">
        <f t="shared" si="3"/>
        <v>2</v>
      </c>
      <c r="N77" s="4">
        <v>2</v>
      </c>
      <c r="O77" s="4">
        <v>0</v>
      </c>
      <c r="P77" s="35">
        <f t="shared" si="4"/>
        <v>3</v>
      </c>
      <c r="Q77" s="4">
        <v>3</v>
      </c>
      <c r="R77" s="4">
        <v>0</v>
      </c>
      <c r="S77" s="4">
        <f t="shared" si="0"/>
        <v>4</v>
      </c>
      <c r="T77" s="4">
        <v>4</v>
      </c>
      <c r="U77" s="4">
        <v>0</v>
      </c>
      <c r="V77" s="4">
        <v>0</v>
      </c>
      <c r="W77" s="4">
        <v>0</v>
      </c>
      <c r="X77" s="4">
        <v>0</v>
      </c>
      <c r="Y77" s="4">
        <v>0</v>
      </c>
      <c r="Z77" s="4">
        <v>0</v>
      </c>
      <c r="AA77" s="4">
        <v>0</v>
      </c>
      <c r="AB77" s="4">
        <v>0</v>
      </c>
      <c r="AC77" s="4">
        <v>0</v>
      </c>
      <c r="AD77" s="4">
        <v>0</v>
      </c>
      <c r="AE77" s="4">
        <v>0</v>
      </c>
    </row>
    <row r="78" spans="1:31" ht="23.25" customHeight="1">
      <c r="A78" s="2" t="e">
        <f t="shared" si="8"/>
        <v>#REF!</v>
      </c>
      <c r="B78" s="35" t="s">
        <v>300</v>
      </c>
      <c r="C78" s="4" t="s">
        <v>42</v>
      </c>
      <c r="D78" s="11" t="s">
        <v>301</v>
      </c>
      <c r="E78" s="4" t="s">
        <v>302</v>
      </c>
      <c r="F78" s="3" t="s">
        <v>303</v>
      </c>
      <c r="G78" s="5" t="s">
        <v>343</v>
      </c>
      <c r="H78" s="7"/>
      <c r="I78" s="4"/>
      <c r="J78" s="4" t="s">
        <v>30</v>
      </c>
      <c r="L78" s="4">
        <f t="shared" si="7"/>
        <v>3</v>
      </c>
      <c r="M78" s="35">
        <f t="shared" si="3"/>
        <v>1</v>
      </c>
      <c r="N78" s="4">
        <v>1</v>
      </c>
      <c r="O78" s="4">
        <v>0</v>
      </c>
      <c r="P78" s="35">
        <f t="shared" si="4"/>
        <v>4</v>
      </c>
      <c r="Q78" s="4">
        <v>2</v>
      </c>
      <c r="R78" s="4">
        <v>2</v>
      </c>
      <c r="S78" s="4">
        <v>8</v>
      </c>
      <c r="T78" s="4">
        <v>0</v>
      </c>
      <c r="U78" s="4">
        <v>0</v>
      </c>
      <c r="V78" s="4">
        <v>0</v>
      </c>
      <c r="W78" s="4">
        <v>0</v>
      </c>
      <c r="X78" s="4">
        <v>0</v>
      </c>
      <c r="Y78" s="4">
        <v>0</v>
      </c>
      <c r="Z78" s="4">
        <v>0</v>
      </c>
      <c r="AA78" s="4">
        <v>0</v>
      </c>
      <c r="AB78" s="4">
        <v>0</v>
      </c>
      <c r="AC78" s="4">
        <v>0</v>
      </c>
      <c r="AD78" s="4">
        <v>0</v>
      </c>
      <c r="AE78" s="4">
        <v>0</v>
      </c>
    </row>
    <row r="79" spans="1:31" ht="23.25" customHeight="1">
      <c r="A79" s="2" t="e">
        <f>#REF!+1</f>
        <v>#REF!</v>
      </c>
      <c r="B79" s="35" t="s">
        <v>304</v>
      </c>
      <c r="C79" s="4" t="s">
        <v>42</v>
      </c>
      <c r="D79" s="11" t="s">
        <v>305</v>
      </c>
      <c r="E79" s="4" t="s">
        <v>306</v>
      </c>
      <c r="F79" s="3" t="s">
        <v>307</v>
      </c>
      <c r="G79" s="5">
        <v>45855.137060185189</v>
      </c>
      <c r="H79" s="7">
        <v>46220</v>
      </c>
      <c r="I79" s="4" t="s">
        <v>29</v>
      </c>
      <c r="J79" s="4" t="s">
        <v>30</v>
      </c>
      <c r="K79" s="4" t="s">
        <v>46</v>
      </c>
      <c r="L79" s="4">
        <f t="shared" si="7"/>
        <v>35</v>
      </c>
      <c r="M79" s="35">
        <f t="shared" si="3"/>
        <v>6</v>
      </c>
      <c r="N79" s="4">
        <v>6</v>
      </c>
      <c r="O79" s="4">
        <v>0</v>
      </c>
      <c r="P79" s="35">
        <f t="shared" si="4"/>
        <v>13</v>
      </c>
      <c r="Q79" s="4">
        <v>13</v>
      </c>
      <c r="R79" s="4">
        <v>0</v>
      </c>
      <c r="S79" s="4">
        <f t="shared" si="0"/>
        <v>17</v>
      </c>
      <c r="T79" s="4">
        <v>16</v>
      </c>
      <c r="U79" s="4">
        <v>1</v>
      </c>
      <c r="V79" s="4">
        <v>0</v>
      </c>
      <c r="W79" s="4">
        <v>0</v>
      </c>
      <c r="X79" s="4">
        <v>0</v>
      </c>
      <c r="Y79" s="4">
        <v>0</v>
      </c>
      <c r="Z79" s="4">
        <v>0</v>
      </c>
      <c r="AA79" s="4">
        <v>0</v>
      </c>
      <c r="AB79" s="4">
        <v>0</v>
      </c>
      <c r="AC79" s="4">
        <v>0</v>
      </c>
      <c r="AD79" s="4">
        <v>0</v>
      </c>
      <c r="AE79" s="4">
        <v>0</v>
      </c>
    </row>
    <row r="80" spans="1:31" ht="15.75" customHeight="1">
      <c r="A80" s="2"/>
      <c r="B80" s="42" t="s">
        <v>344</v>
      </c>
      <c r="C80" s="2" t="s">
        <v>342</v>
      </c>
      <c r="D80" s="25" t="s">
        <v>356</v>
      </c>
      <c r="E80" s="44" t="s">
        <v>360</v>
      </c>
      <c r="F80" s="18" t="s">
        <v>359</v>
      </c>
      <c r="G80" s="43" t="s">
        <v>357</v>
      </c>
      <c r="H80" s="27" t="s">
        <v>358</v>
      </c>
      <c r="I80" s="2" t="s">
        <v>29</v>
      </c>
      <c r="J80" s="2" t="s">
        <v>30</v>
      </c>
      <c r="L80" s="4">
        <v>2</v>
      </c>
      <c r="M80" s="35">
        <v>1</v>
      </c>
      <c r="N80" s="2">
        <v>1</v>
      </c>
      <c r="O80" s="2">
        <v>0</v>
      </c>
      <c r="P80" s="35">
        <v>1</v>
      </c>
      <c r="Q80" s="2">
        <v>1</v>
      </c>
      <c r="R80" s="2">
        <v>0</v>
      </c>
      <c r="S80" s="2"/>
      <c r="T80" s="2"/>
      <c r="U80" s="2"/>
      <c r="V80" s="2"/>
      <c r="W80" s="4"/>
      <c r="X80" s="4"/>
      <c r="Y80" s="4"/>
      <c r="Z80" s="4"/>
      <c r="AA80" s="35"/>
      <c r="AB80" s="4"/>
      <c r="AC80" s="4"/>
      <c r="AD80" s="4"/>
      <c r="AE80" s="4"/>
    </row>
    <row r="81" spans="1:31" ht="28.5" customHeight="1">
      <c r="A81" s="2"/>
      <c r="B81" s="35" t="s">
        <v>345</v>
      </c>
      <c r="C81" s="4" t="s">
        <v>38</v>
      </c>
      <c r="D81" s="3" t="s">
        <v>361</v>
      </c>
      <c r="E81" s="31" t="s">
        <v>368</v>
      </c>
      <c r="F81" s="3">
        <v>535337877</v>
      </c>
      <c r="G81" s="43" t="s">
        <v>362</v>
      </c>
      <c r="H81" s="43" t="s">
        <v>363</v>
      </c>
      <c r="I81" s="4" t="s">
        <v>116</v>
      </c>
      <c r="J81" s="4" t="s">
        <v>47</v>
      </c>
      <c r="L81" s="4">
        <v>1</v>
      </c>
      <c r="M81" s="4">
        <v>0</v>
      </c>
      <c r="N81" s="4">
        <v>0</v>
      </c>
      <c r="O81" s="4">
        <v>0</v>
      </c>
      <c r="P81" s="35">
        <v>1</v>
      </c>
      <c r="Q81" s="4">
        <v>1</v>
      </c>
      <c r="R81" s="4">
        <v>0</v>
      </c>
      <c r="S81" s="4"/>
      <c r="T81" s="4"/>
      <c r="U81" s="4"/>
      <c r="V81" s="4"/>
      <c r="W81" s="4"/>
      <c r="X81" s="4"/>
      <c r="Y81" s="4"/>
      <c r="Z81" s="4"/>
      <c r="AA81" s="4"/>
      <c r="AB81" s="4"/>
      <c r="AC81" s="4"/>
      <c r="AD81" s="4"/>
      <c r="AE81" s="4"/>
    </row>
    <row r="82" spans="1:31" ht="28.5" customHeight="1">
      <c r="A82" s="2"/>
      <c r="B82" s="35" t="s">
        <v>346</v>
      </c>
      <c r="C82" s="32" t="s">
        <v>372</v>
      </c>
      <c r="D82" s="3" t="s">
        <v>369</v>
      </c>
      <c r="E82" s="31" t="s">
        <v>370</v>
      </c>
      <c r="F82" s="45" t="s">
        <v>371</v>
      </c>
      <c r="G82" s="46">
        <v>46146</v>
      </c>
      <c r="H82" s="10"/>
      <c r="I82" s="4"/>
      <c r="J82" s="4" t="s">
        <v>30</v>
      </c>
      <c r="L82" s="4">
        <v>34</v>
      </c>
      <c r="M82" s="4">
        <v>0</v>
      </c>
      <c r="N82" s="4">
        <v>0</v>
      </c>
      <c r="O82" s="4">
        <v>0</v>
      </c>
      <c r="P82" s="4">
        <v>0</v>
      </c>
      <c r="Q82" s="4">
        <v>0</v>
      </c>
      <c r="R82" s="4">
        <v>0</v>
      </c>
      <c r="S82" s="4">
        <v>0</v>
      </c>
      <c r="T82" s="4">
        <v>0</v>
      </c>
      <c r="U82" s="4">
        <v>0</v>
      </c>
      <c r="V82" s="35">
        <v>1</v>
      </c>
      <c r="W82" s="35">
        <v>17</v>
      </c>
      <c r="X82" s="4"/>
      <c r="Y82" s="4"/>
      <c r="Z82" s="4"/>
      <c r="AA82" s="4"/>
      <c r="AB82" s="4"/>
      <c r="AC82" s="35">
        <v>17</v>
      </c>
      <c r="AD82" s="4"/>
      <c r="AE82" s="4"/>
    </row>
    <row r="83" spans="1:31" ht="28.5" customHeight="1">
      <c r="A83" s="2"/>
      <c r="B83" s="35" t="s">
        <v>347</v>
      </c>
      <c r="C83" s="4" t="s">
        <v>38</v>
      </c>
      <c r="D83" s="3" t="s">
        <v>375</v>
      </c>
      <c r="E83" s="31" t="s">
        <v>376</v>
      </c>
      <c r="F83" s="3"/>
      <c r="G83" s="46">
        <v>46152</v>
      </c>
      <c r="H83" s="10"/>
      <c r="I83" s="4"/>
      <c r="J83" s="4" t="s">
        <v>30</v>
      </c>
      <c r="L83" s="4">
        <v>7</v>
      </c>
      <c r="M83" s="35">
        <v>1</v>
      </c>
      <c r="N83" s="4">
        <v>0</v>
      </c>
      <c r="O83" s="4">
        <v>0</v>
      </c>
      <c r="P83" s="35">
        <v>1</v>
      </c>
      <c r="Q83" s="4">
        <v>0</v>
      </c>
      <c r="R83" s="4">
        <v>0</v>
      </c>
      <c r="S83" s="4">
        <v>5</v>
      </c>
      <c r="T83" s="4">
        <v>5</v>
      </c>
      <c r="U83" s="4">
        <v>0</v>
      </c>
      <c r="V83" s="4"/>
      <c r="W83" s="4"/>
      <c r="X83" s="4"/>
      <c r="Y83" s="4"/>
      <c r="Z83" s="4"/>
      <c r="AA83" s="4"/>
      <c r="AB83" s="4"/>
      <c r="AC83" s="4"/>
      <c r="AD83" s="4"/>
      <c r="AE83" s="4"/>
    </row>
    <row r="84" spans="1:31" ht="28.5" customHeight="1">
      <c r="A84" s="2"/>
      <c r="B84" s="35" t="s">
        <v>348</v>
      </c>
      <c r="C84" s="4"/>
      <c r="D84" s="3" t="s">
        <v>377</v>
      </c>
      <c r="E84" s="31" t="s">
        <v>378</v>
      </c>
      <c r="F84" s="3"/>
      <c r="G84" s="46">
        <v>46161</v>
      </c>
      <c r="H84" s="10"/>
      <c r="I84" s="4"/>
      <c r="J84" s="4" t="s">
        <v>30</v>
      </c>
      <c r="L84" s="4">
        <v>6</v>
      </c>
      <c r="M84" s="35">
        <v>2</v>
      </c>
      <c r="N84" s="4">
        <v>0</v>
      </c>
      <c r="O84" s="4">
        <v>0</v>
      </c>
      <c r="P84" s="35">
        <v>2</v>
      </c>
      <c r="Q84" s="4">
        <v>2</v>
      </c>
      <c r="R84" s="4">
        <v>0</v>
      </c>
      <c r="S84" s="4">
        <v>2</v>
      </c>
      <c r="T84" s="4">
        <v>2</v>
      </c>
      <c r="U84" s="4">
        <v>0</v>
      </c>
      <c r="V84" s="4"/>
      <c r="W84" s="4"/>
      <c r="X84" s="4"/>
      <c r="Y84" s="4"/>
      <c r="Z84" s="4"/>
      <c r="AA84" s="4"/>
      <c r="AB84" s="4"/>
      <c r="AC84" s="4"/>
      <c r="AD84" s="4"/>
      <c r="AE84" s="4"/>
    </row>
    <row r="85" spans="1:31" ht="28.5" customHeight="1">
      <c r="A85" s="2"/>
      <c r="B85" s="35" t="s">
        <v>349</v>
      </c>
      <c r="C85" s="4"/>
      <c r="D85" s="3" t="s">
        <v>380</v>
      </c>
      <c r="E85" s="3"/>
      <c r="F85" s="3"/>
      <c r="G85" s="46">
        <v>46209</v>
      </c>
      <c r="H85" s="46">
        <v>46240</v>
      </c>
      <c r="I85" s="4"/>
      <c r="J85" s="4" t="s">
        <v>47</v>
      </c>
      <c r="L85" s="4"/>
      <c r="M85" s="4"/>
      <c r="N85" s="4"/>
      <c r="O85" s="4"/>
      <c r="P85" s="4"/>
      <c r="Q85" s="4"/>
      <c r="R85" s="4"/>
      <c r="S85" s="4"/>
      <c r="T85" s="4"/>
      <c r="U85" s="4"/>
      <c r="V85" s="4"/>
      <c r="W85" s="4"/>
      <c r="X85" s="4"/>
      <c r="Y85" s="4"/>
      <c r="Z85" s="4"/>
      <c r="AA85" s="4"/>
      <c r="AB85" s="4"/>
      <c r="AC85" s="4"/>
      <c r="AD85" s="4"/>
      <c r="AE85" s="4"/>
    </row>
    <row r="86" spans="1:31" ht="28.5" customHeight="1">
      <c r="A86" s="2"/>
      <c r="B86" s="35" t="s">
        <v>350</v>
      </c>
      <c r="C86" s="4"/>
      <c r="D86" s="3" t="s">
        <v>381</v>
      </c>
      <c r="E86" s="31" t="s">
        <v>382</v>
      </c>
      <c r="F86" s="46"/>
      <c r="G86" s="46">
        <v>46217</v>
      </c>
      <c r="H86" s="46">
        <v>46248</v>
      </c>
      <c r="I86" s="4" t="s">
        <v>116</v>
      </c>
      <c r="J86" s="4" t="s">
        <v>30</v>
      </c>
      <c r="L86" s="4">
        <v>39</v>
      </c>
      <c r="M86" s="35">
        <v>9</v>
      </c>
      <c r="N86" s="4">
        <v>9</v>
      </c>
      <c r="O86" s="4">
        <v>0</v>
      </c>
      <c r="P86" s="35">
        <v>13</v>
      </c>
      <c r="Q86" s="4">
        <v>0</v>
      </c>
      <c r="R86" s="4">
        <v>0</v>
      </c>
      <c r="S86" s="4">
        <v>62</v>
      </c>
      <c r="T86" s="4">
        <v>17</v>
      </c>
      <c r="U86" s="4">
        <v>45</v>
      </c>
      <c r="V86" s="4"/>
      <c r="W86" s="4"/>
      <c r="X86" s="4"/>
      <c r="Y86" s="4"/>
      <c r="Z86" s="4"/>
      <c r="AA86" s="4"/>
      <c r="AB86" s="4"/>
      <c r="AC86" s="4"/>
      <c r="AD86" s="4"/>
      <c r="AE86" s="4"/>
    </row>
    <row r="87" spans="1:31" ht="28.5" customHeight="1">
      <c r="A87" s="2"/>
      <c r="B87" s="35" t="s">
        <v>351</v>
      </c>
      <c r="C87" s="4" t="s">
        <v>42</v>
      </c>
      <c r="D87" s="3" t="s">
        <v>379</v>
      </c>
      <c r="E87" s="31" t="s">
        <v>378</v>
      </c>
      <c r="F87" s="3"/>
      <c r="G87" s="46">
        <v>46223</v>
      </c>
      <c r="H87" s="10"/>
      <c r="I87" s="4"/>
      <c r="J87" s="4" t="s">
        <v>30</v>
      </c>
      <c r="L87" s="4">
        <v>13</v>
      </c>
      <c r="M87" s="4">
        <v>5</v>
      </c>
      <c r="N87" s="4">
        <v>5</v>
      </c>
      <c r="O87" s="4">
        <v>0</v>
      </c>
      <c r="P87" s="4">
        <v>6</v>
      </c>
      <c r="Q87" s="4">
        <v>6</v>
      </c>
      <c r="R87" s="4">
        <v>0</v>
      </c>
      <c r="S87" s="4">
        <v>2</v>
      </c>
      <c r="T87" s="4">
        <v>2</v>
      </c>
      <c r="U87" s="4">
        <v>0</v>
      </c>
      <c r="V87" s="4"/>
      <c r="W87" s="4"/>
      <c r="X87" s="4"/>
      <c r="Y87" s="4"/>
      <c r="Z87" s="4"/>
      <c r="AA87" s="4"/>
      <c r="AB87" s="4"/>
      <c r="AC87" s="4"/>
      <c r="AD87" s="4"/>
      <c r="AE87" s="4"/>
    </row>
    <row r="88" spans="1:31" ht="28.5" customHeight="1">
      <c r="A88" s="2"/>
      <c r="B88" s="35" t="s">
        <v>353</v>
      </c>
      <c r="C88" s="4" t="s">
        <v>114</v>
      </c>
      <c r="D88" s="3" t="s">
        <v>364</v>
      </c>
      <c r="E88" s="31" t="s">
        <v>367</v>
      </c>
      <c r="F88" s="3">
        <v>567661942</v>
      </c>
      <c r="G88" s="43" t="s">
        <v>365</v>
      </c>
      <c r="H88" s="43" t="s">
        <v>366</v>
      </c>
      <c r="I88" s="4" t="s">
        <v>29</v>
      </c>
      <c r="J88" s="4" t="s">
        <v>30</v>
      </c>
      <c r="L88" s="4">
        <v>1</v>
      </c>
      <c r="M88" s="35">
        <v>1</v>
      </c>
      <c r="N88" s="4">
        <v>1</v>
      </c>
      <c r="O88" s="4">
        <v>0</v>
      </c>
      <c r="P88" s="4"/>
      <c r="Q88" s="4"/>
      <c r="R88" s="4"/>
      <c r="S88" s="4"/>
      <c r="T88" s="4"/>
      <c r="U88" s="4"/>
      <c r="V88" s="4"/>
      <c r="W88" s="4"/>
      <c r="X88" s="4"/>
      <c r="Y88" s="4"/>
      <c r="Z88" s="4"/>
      <c r="AA88" s="4"/>
      <c r="AB88" s="4"/>
      <c r="AC88" s="4"/>
      <c r="AD88" s="4"/>
      <c r="AE88" s="4"/>
    </row>
    <row r="89" spans="1:31" ht="28.5" customHeight="1">
      <c r="A89" s="2"/>
      <c r="B89" s="35" t="s">
        <v>354</v>
      </c>
      <c r="C89" s="4"/>
      <c r="D89" s="3"/>
      <c r="E89" s="3"/>
      <c r="F89" s="3"/>
      <c r="G89" s="5"/>
      <c r="H89" s="10"/>
      <c r="I89" s="4"/>
      <c r="J89" s="4" t="s">
        <v>47</v>
      </c>
      <c r="L89" s="4"/>
      <c r="M89" s="4"/>
      <c r="N89" s="4"/>
      <c r="O89" s="4"/>
      <c r="P89" s="4"/>
      <c r="Q89" s="4"/>
      <c r="R89" s="4"/>
      <c r="S89" s="4"/>
      <c r="T89" s="4"/>
      <c r="U89" s="4"/>
      <c r="V89" s="4"/>
      <c r="W89" s="4"/>
      <c r="X89" s="4"/>
      <c r="Y89" s="4"/>
      <c r="Z89" s="4"/>
      <c r="AA89" s="4"/>
      <c r="AB89" s="4"/>
      <c r="AC89" s="4"/>
      <c r="AD89" s="4"/>
      <c r="AE89" s="4"/>
    </row>
    <row r="90" spans="1:31" ht="28.5" customHeight="1">
      <c r="A90" s="2"/>
      <c r="B90" s="35" t="s">
        <v>355</v>
      </c>
      <c r="C90" s="4" t="s">
        <v>42</v>
      </c>
      <c r="D90" s="3" t="s">
        <v>383</v>
      </c>
      <c r="E90" s="31"/>
      <c r="F90" s="3"/>
      <c r="G90" s="43">
        <v>46224</v>
      </c>
      <c r="H90" s="43">
        <v>46589</v>
      </c>
      <c r="I90" s="4" t="s">
        <v>29</v>
      </c>
      <c r="J90" s="4" t="s">
        <v>30</v>
      </c>
      <c r="L90" s="4">
        <v>4</v>
      </c>
      <c r="M90" s="35">
        <v>1</v>
      </c>
      <c r="N90" s="4">
        <v>1</v>
      </c>
      <c r="O90" s="4">
        <v>0</v>
      </c>
      <c r="P90" s="4">
        <v>1</v>
      </c>
      <c r="Q90" s="4">
        <v>1</v>
      </c>
      <c r="R90" s="4">
        <v>0</v>
      </c>
      <c r="S90" s="4">
        <v>2</v>
      </c>
      <c r="T90" s="4">
        <v>2</v>
      </c>
      <c r="U90" s="4">
        <v>0</v>
      </c>
      <c r="V90" s="4"/>
      <c r="W90" s="4"/>
      <c r="X90" s="4"/>
      <c r="Y90" s="4"/>
      <c r="Z90" s="4"/>
      <c r="AA90" s="4"/>
      <c r="AB90" s="4"/>
      <c r="AC90" s="4"/>
      <c r="AD90" s="4"/>
      <c r="AE90" s="4"/>
    </row>
    <row r="91" spans="1:31" ht="28.5" customHeight="1">
      <c r="A91" s="2"/>
      <c r="B91" s="35" t="s">
        <v>373</v>
      </c>
      <c r="C91" s="4" t="s">
        <v>38</v>
      </c>
      <c r="D91" s="3" t="s">
        <v>374</v>
      </c>
      <c r="E91" s="3"/>
      <c r="F91" s="3"/>
      <c r="G91" s="5">
        <v>45643</v>
      </c>
      <c r="H91" s="10"/>
      <c r="I91" s="4" t="s">
        <v>36</v>
      </c>
      <c r="J91" s="4" t="s">
        <v>30</v>
      </c>
      <c r="L91" s="4">
        <v>3</v>
      </c>
      <c r="M91" s="4">
        <v>0</v>
      </c>
      <c r="N91" s="4">
        <v>0</v>
      </c>
      <c r="O91" s="4">
        <v>0</v>
      </c>
      <c r="P91" s="35">
        <v>1</v>
      </c>
      <c r="Q91" s="4">
        <v>1</v>
      </c>
      <c r="R91" s="4">
        <v>0</v>
      </c>
      <c r="S91" s="4">
        <v>2</v>
      </c>
      <c r="T91" s="4">
        <v>2</v>
      </c>
      <c r="U91" s="4">
        <v>0</v>
      </c>
      <c r="V91" s="4"/>
      <c r="W91" s="4"/>
      <c r="X91" s="4"/>
      <c r="Y91" s="4"/>
      <c r="Z91" s="4"/>
      <c r="AA91" s="4"/>
      <c r="AB91" s="4"/>
      <c r="AC91" s="4"/>
      <c r="AD91" s="4"/>
      <c r="AE91" s="4"/>
    </row>
    <row r="92" spans="1:31" ht="28.5" customHeight="1">
      <c r="A92" s="2"/>
      <c r="B92" s="35" t="s">
        <v>384</v>
      </c>
      <c r="C92" s="4" t="s">
        <v>38</v>
      </c>
      <c r="D92" s="3" t="s">
        <v>385</v>
      </c>
      <c r="E92" s="31" t="s">
        <v>386</v>
      </c>
      <c r="F92" s="45" t="s">
        <v>387</v>
      </c>
      <c r="G92" s="5">
        <v>45700</v>
      </c>
      <c r="H92" s="10"/>
      <c r="I92" s="4"/>
      <c r="J92" s="4" t="s">
        <v>30</v>
      </c>
      <c r="L92" s="4">
        <v>11</v>
      </c>
      <c r="M92" s="4">
        <v>1</v>
      </c>
      <c r="N92" s="4">
        <v>1</v>
      </c>
      <c r="O92" s="4">
        <v>0</v>
      </c>
      <c r="P92" s="35">
        <v>2</v>
      </c>
      <c r="Q92" s="4">
        <v>2</v>
      </c>
      <c r="R92" s="4">
        <v>0</v>
      </c>
      <c r="S92" s="4">
        <v>8</v>
      </c>
      <c r="T92" s="4">
        <v>8</v>
      </c>
      <c r="U92" s="4">
        <v>0</v>
      </c>
      <c r="V92" s="4"/>
      <c r="W92" s="4"/>
      <c r="X92" s="4"/>
      <c r="Y92" s="4"/>
      <c r="Z92" s="4"/>
      <c r="AA92" s="4"/>
      <c r="AB92" s="4"/>
      <c r="AC92" s="4"/>
      <c r="AD92" s="4"/>
      <c r="AE92" s="4"/>
    </row>
    <row r="93" spans="1:31" ht="15.75" customHeight="1">
      <c r="I93" s="28"/>
    </row>
    <row r="94" spans="1:31" ht="15.75" customHeight="1">
      <c r="I94" s="28"/>
    </row>
    <row r="95" spans="1:31" ht="15.75" customHeight="1">
      <c r="I95" s="28"/>
    </row>
    <row r="96" spans="1:31" ht="15.75" customHeight="1">
      <c r="I96" s="28"/>
    </row>
    <row r="97" spans="9:9" ht="15.75" customHeight="1">
      <c r="I97" s="28"/>
    </row>
    <row r="98" spans="9:9" ht="15.75" customHeight="1">
      <c r="I98" s="28"/>
    </row>
    <row r="99" spans="9:9" ht="15.75" customHeight="1">
      <c r="I99" s="28"/>
    </row>
    <row r="100" spans="9:9" ht="15.75" customHeight="1">
      <c r="I100" s="28"/>
    </row>
    <row r="101" spans="9:9" ht="15.75" customHeight="1">
      <c r="I101" s="28"/>
    </row>
    <row r="102" spans="9:9" ht="15.75" customHeight="1">
      <c r="I102" s="28"/>
    </row>
    <row r="103" spans="9:9" ht="15.75" customHeight="1">
      <c r="I103" s="28"/>
    </row>
    <row r="104" spans="9:9" ht="15.75" customHeight="1">
      <c r="I104" s="28"/>
    </row>
    <row r="105" spans="9:9" ht="15.75" customHeight="1">
      <c r="I105" s="28"/>
    </row>
    <row r="106" spans="9:9" ht="15.75" customHeight="1">
      <c r="I106" s="28"/>
    </row>
    <row r="107" spans="9:9" ht="15.75" customHeight="1">
      <c r="I107" s="28"/>
    </row>
    <row r="108" spans="9:9" ht="15.75" customHeight="1">
      <c r="I108" s="28"/>
    </row>
    <row r="109" spans="9:9" ht="15.75" customHeight="1">
      <c r="I109" s="28"/>
    </row>
    <row r="110" spans="9:9" ht="15.75" customHeight="1">
      <c r="I110" s="28"/>
    </row>
    <row r="111" spans="9:9" ht="15.75" customHeight="1">
      <c r="I111" s="28"/>
    </row>
    <row r="112" spans="9:9" ht="15.75" customHeight="1">
      <c r="I112" s="28"/>
    </row>
    <row r="113" spans="9:9" ht="15.75" customHeight="1">
      <c r="I113" s="28"/>
    </row>
    <row r="114" spans="9:9" ht="15.75" customHeight="1">
      <c r="I114" s="28"/>
    </row>
    <row r="115" spans="9:9" ht="15.75" customHeight="1">
      <c r="I115" s="28"/>
    </row>
    <row r="116" spans="9:9" ht="15.75" customHeight="1">
      <c r="I116" s="28"/>
    </row>
    <row r="117" spans="9:9" ht="15.75" customHeight="1">
      <c r="I117" s="28"/>
    </row>
    <row r="118" spans="9:9" ht="15.75" customHeight="1">
      <c r="I118" s="28"/>
    </row>
    <row r="119" spans="9:9" ht="15.75" customHeight="1">
      <c r="I119" s="28"/>
    </row>
    <row r="120" spans="9:9" ht="15.75" customHeight="1">
      <c r="I120" s="28"/>
    </row>
    <row r="121" spans="9:9" ht="15.75" customHeight="1">
      <c r="I121" s="28"/>
    </row>
    <row r="122" spans="9:9" ht="15.75" customHeight="1">
      <c r="I122" s="28"/>
    </row>
    <row r="123" spans="9:9" ht="15.75" customHeight="1">
      <c r="I123" s="28"/>
    </row>
    <row r="124" spans="9:9" ht="15.75" customHeight="1">
      <c r="I124" s="28"/>
    </row>
    <row r="125" spans="9:9" ht="15.75" customHeight="1">
      <c r="I125" s="28"/>
    </row>
    <row r="126" spans="9:9" ht="15.75" customHeight="1">
      <c r="I126" s="28"/>
    </row>
    <row r="127" spans="9:9" ht="15.75" customHeight="1">
      <c r="I127" s="28"/>
    </row>
    <row r="128" spans="9:9" ht="15.75" customHeight="1">
      <c r="I128" s="28"/>
    </row>
    <row r="129" spans="9:9" ht="15.75" customHeight="1">
      <c r="I129" s="28"/>
    </row>
    <row r="130" spans="9:9" ht="15.75" customHeight="1">
      <c r="I130" s="28"/>
    </row>
    <row r="131" spans="9:9" ht="15.75" customHeight="1">
      <c r="I131" s="28"/>
    </row>
    <row r="132" spans="9:9" ht="15.75" customHeight="1">
      <c r="I132" s="28"/>
    </row>
    <row r="133" spans="9:9" ht="15.75" customHeight="1">
      <c r="I133" s="28"/>
    </row>
    <row r="134" spans="9:9" ht="15.75" customHeight="1">
      <c r="I134" s="28"/>
    </row>
    <row r="135" spans="9:9" ht="15.75" customHeight="1">
      <c r="I135" s="28"/>
    </row>
    <row r="136" spans="9:9" ht="15.75" customHeight="1">
      <c r="I136" s="28"/>
    </row>
    <row r="137" spans="9:9" ht="15.75" customHeight="1">
      <c r="I137" s="28"/>
    </row>
    <row r="138" spans="9:9" ht="15.75" customHeight="1">
      <c r="I138" s="28"/>
    </row>
    <row r="139" spans="9:9" ht="15.75" customHeight="1">
      <c r="I139" s="28"/>
    </row>
    <row r="140" spans="9:9" ht="15.75" customHeight="1">
      <c r="I140" s="28"/>
    </row>
    <row r="141" spans="9:9" ht="15.75" customHeight="1">
      <c r="I141" s="28"/>
    </row>
    <row r="142" spans="9:9" ht="15.75" customHeight="1">
      <c r="I142" s="28"/>
    </row>
    <row r="143" spans="9:9" ht="15.75" customHeight="1">
      <c r="I143" s="28"/>
    </row>
    <row r="144" spans="9:9" ht="15.75" customHeight="1">
      <c r="I144" s="28"/>
    </row>
    <row r="145" spans="9:9" ht="15.75" customHeight="1">
      <c r="I145" s="28"/>
    </row>
    <row r="146" spans="9:9" ht="15.75" customHeight="1">
      <c r="I146" s="28"/>
    </row>
    <row r="147" spans="9:9" ht="15.75" customHeight="1">
      <c r="I147" s="28"/>
    </row>
    <row r="148" spans="9:9" ht="15.75" customHeight="1">
      <c r="I148" s="28"/>
    </row>
    <row r="149" spans="9:9" ht="15.75" customHeight="1">
      <c r="I149" s="28"/>
    </row>
    <row r="150" spans="9:9" ht="15.75" customHeight="1">
      <c r="I150" s="28"/>
    </row>
    <row r="151" spans="9:9" ht="15.75" customHeight="1">
      <c r="I151" s="28"/>
    </row>
    <row r="152" spans="9:9" ht="15.75" customHeight="1">
      <c r="I152" s="28"/>
    </row>
    <row r="153" spans="9:9" ht="15.75" customHeight="1">
      <c r="I153" s="28"/>
    </row>
    <row r="154" spans="9:9" ht="15.75" customHeight="1">
      <c r="I154" s="28"/>
    </row>
    <row r="155" spans="9:9" ht="15.75" customHeight="1">
      <c r="I155" s="28"/>
    </row>
    <row r="156" spans="9:9" ht="15.75" customHeight="1">
      <c r="I156" s="28"/>
    </row>
    <row r="157" spans="9:9" ht="15.75" customHeight="1">
      <c r="I157" s="28"/>
    </row>
    <row r="158" spans="9:9" ht="15.75" customHeight="1">
      <c r="I158" s="28"/>
    </row>
    <row r="159" spans="9:9" ht="15.75" customHeight="1">
      <c r="I159" s="28"/>
    </row>
    <row r="160" spans="9:9" ht="15.75" customHeight="1">
      <c r="I160" s="28"/>
    </row>
    <row r="161" spans="9:9" ht="15.75" customHeight="1">
      <c r="I161" s="28"/>
    </row>
    <row r="162" spans="9:9" ht="15.75" customHeight="1">
      <c r="I162" s="28"/>
    </row>
    <row r="163" spans="9:9" ht="15.75" customHeight="1">
      <c r="I163" s="28"/>
    </row>
    <row r="164" spans="9:9" ht="15.75" customHeight="1">
      <c r="I164" s="28"/>
    </row>
    <row r="165" spans="9:9" ht="15.75" customHeight="1">
      <c r="I165" s="28"/>
    </row>
    <row r="166" spans="9:9" ht="15.75" customHeight="1">
      <c r="I166" s="28"/>
    </row>
    <row r="167" spans="9:9" ht="15.75" customHeight="1">
      <c r="I167" s="28"/>
    </row>
    <row r="168" spans="9:9" ht="15.75" customHeight="1">
      <c r="I168" s="28"/>
    </row>
    <row r="169" spans="9:9" ht="15.75" customHeight="1">
      <c r="I169" s="28"/>
    </row>
    <row r="170" spans="9:9" ht="15.75" customHeight="1">
      <c r="I170" s="28"/>
    </row>
    <row r="171" spans="9:9" ht="15.75" customHeight="1">
      <c r="I171" s="28"/>
    </row>
    <row r="172" spans="9:9" ht="15.75" customHeight="1">
      <c r="I172" s="28"/>
    </row>
    <row r="173" spans="9:9" ht="15.75" customHeight="1">
      <c r="I173" s="28"/>
    </row>
    <row r="174" spans="9:9" ht="15.75" customHeight="1">
      <c r="I174" s="28"/>
    </row>
    <row r="175" spans="9:9" ht="15.75" customHeight="1">
      <c r="I175" s="28"/>
    </row>
    <row r="176" spans="9:9" ht="15.75" customHeight="1">
      <c r="I176" s="28"/>
    </row>
    <row r="177" spans="9:9" ht="15.75" customHeight="1">
      <c r="I177" s="28"/>
    </row>
    <row r="178" spans="9:9" ht="15.75" customHeight="1">
      <c r="I178" s="28"/>
    </row>
    <row r="179" spans="9:9" ht="15.75" customHeight="1">
      <c r="I179" s="28"/>
    </row>
    <row r="180" spans="9:9" ht="15.75" customHeight="1">
      <c r="I180" s="28"/>
    </row>
    <row r="181" spans="9:9" ht="15.75" customHeight="1">
      <c r="I181" s="28"/>
    </row>
    <row r="182" spans="9:9" ht="15.75" customHeight="1">
      <c r="I182" s="28"/>
    </row>
    <row r="183" spans="9:9" ht="15.75" customHeight="1">
      <c r="I183" s="28"/>
    </row>
    <row r="184" spans="9:9" ht="15.75" customHeight="1">
      <c r="I184" s="28"/>
    </row>
    <row r="185" spans="9:9" ht="15.75" customHeight="1">
      <c r="I185" s="28"/>
    </row>
    <row r="186" spans="9:9" ht="15.75" customHeight="1">
      <c r="I186" s="28"/>
    </row>
    <row r="187" spans="9:9" ht="15.75" customHeight="1">
      <c r="I187" s="28"/>
    </row>
    <row r="188" spans="9:9" ht="15.75" customHeight="1">
      <c r="I188" s="28"/>
    </row>
    <row r="189" spans="9:9" ht="15.75" customHeight="1">
      <c r="I189" s="28"/>
    </row>
    <row r="190" spans="9:9" ht="15.75" customHeight="1">
      <c r="I190" s="28"/>
    </row>
    <row r="191" spans="9:9" ht="15.75" customHeight="1">
      <c r="I191" s="28"/>
    </row>
    <row r="192" spans="9:9" ht="15.75" customHeight="1">
      <c r="I192" s="28"/>
    </row>
    <row r="193" spans="9:9" ht="15.75" customHeight="1">
      <c r="I193" s="28"/>
    </row>
    <row r="194" spans="9:9" ht="15.75" customHeight="1">
      <c r="I194" s="28"/>
    </row>
    <row r="195" spans="9:9" ht="15.75" customHeight="1">
      <c r="I195" s="28"/>
    </row>
    <row r="196" spans="9:9" ht="15.75" customHeight="1">
      <c r="I196" s="28"/>
    </row>
    <row r="197" spans="9:9" ht="15.75" customHeight="1">
      <c r="I197" s="28"/>
    </row>
    <row r="198" spans="9:9" ht="15.75" customHeight="1">
      <c r="I198" s="28"/>
    </row>
    <row r="199" spans="9:9" ht="15.75" customHeight="1">
      <c r="I199" s="28"/>
    </row>
    <row r="200" spans="9:9" ht="15.75" customHeight="1">
      <c r="I200" s="28"/>
    </row>
    <row r="201" spans="9:9" ht="15.75" customHeight="1">
      <c r="I201" s="28"/>
    </row>
    <row r="202" spans="9:9" ht="15.75" customHeight="1">
      <c r="I202" s="28"/>
    </row>
    <row r="203" spans="9:9" ht="15.75" customHeight="1">
      <c r="I203" s="28"/>
    </row>
    <row r="204" spans="9:9" ht="15.75" customHeight="1">
      <c r="I204" s="28"/>
    </row>
    <row r="205" spans="9:9" ht="15.75" customHeight="1">
      <c r="I205" s="28"/>
    </row>
    <row r="206" spans="9:9" ht="15.75" customHeight="1">
      <c r="I206" s="28"/>
    </row>
    <row r="207" spans="9:9" ht="15.75" customHeight="1">
      <c r="I207" s="28"/>
    </row>
    <row r="208" spans="9:9" ht="15.75" customHeight="1">
      <c r="I208" s="28"/>
    </row>
    <row r="209" spans="9:9" ht="15.75" customHeight="1">
      <c r="I209" s="28"/>
    </row>
    <row r="210" spans="9:9" ht="15.75" customHeight="1">
      <c r="I210" s="28"/>
    </row>
    <row r="211" spans="9:9" ht="15.75" customHeight="1">
      <c r="I211" s="28"/>
    </row>
    <row r="212" spans="9:9" ht="15.75" customHeight="1">
      <c r="I212" s="28"/>
    </row>
    <row r="213" spans="9:9" ht="15.75" customHeight="1">
      <c r="I213" s="28"/>
    </row>
    <row r="214" spans="9:9" ht="15.75" customHeight="1">
      <c r="I214" s="28"/>
    </row>
    <row r="215" spans="9:9" ht="15.75" customHeight="1">
      <c r="I215" s="28"/>
    </row>
    <row r="216" spans="9:9" ht="15.75" customHeight="1">
      <c r="I216" s="28"/>
    </row>
    <row r="217" spans="9:9" ht="15.75" customHeight="1">
      <c r="I217" s="28"/>
    </row>
    <row r="218" spans="9:9" ht="15.75" customHeight="1">
      <c r="I218" s="28"/>
    </row>
    <row r="219" spans="9:9" ht="15.75" customHeight="1">
      <c r="I219" s="28"/>
    </row>
    <row r="220" spans="9:9" ht="15.75" customHeight="1">
      <c r="I220" s="28"/>
    </row>
    <row r="221" spans="9:9" ht="15.75" customHeight="1">
      <c r="I221" s="28"/>
    </row>
    <row r="222" spans="9:9" ht="15.75" customHeight="1">
      <c r="I222" s="28"/>
    </row>
    <row r="223" spans="9:9" ht="15.75" customHeight="1">
      <c r="I223" s="28"/>
    </row>
    <row r="224" spans="9:9" ht="15.75" customHeight="1">
      <c r="I224" s="28"/>
    </row>
    <row r="225" spans="9:9" ht="15.75" customHeight="1">
      <c r="I225" s="28"/>
    </row>
    <row r="226" spans="9:9" ht="15.75" customHeight="1">
      <c r="I226" s="28"/>
    </row>
    <row r="227" spans="9:9" ht="15.75" customHeight="1">
      <c r="I227" s="28"/>
    </row>
    <row r="228" spans="9:9" ht="15.75" customHeight="1">
      <c r="I228" s="28"/>
    </row>
    <row r="229" spans="9:9" ht="15.75" customHeight="1">
      <c r="I229" s="28"/>
    </row>
    <row r="230" spans="9:9" ht="15.75" customHeight="1">
      <c r="I230" s="28"/>
    </row>
    <row r="231" spans="9:9" ht="15.75" customHeight="1">
      <c r="I231" s="28"/>
    </row>
    <row r="232" spans="9:9" ht="15.75" customHeight="1">
      <c r="I232" s="28"/>
    </row>
    <row r="233" spans="9:9" ht="15.75" customHeight="1">
      <c r="I233" s="28"/>
    </row>
    <row r="234" spans="9:9" ht="15.75" customHeight="1">
      <c r="I234" s="28"/>
    </row>
    <row r="235" spans="9:9" ht="15.75" customHeight="1">
      <c r="I235" s="28"/>
    </row>
    <row r="236" spans="9:9" ht="15.75" customHeight="1">
      <c r="I236" s="28"/>
    </row>
    <row r="237" spans="9:9" ht="15.75" customHeight="1">
      <c r="I237" s="28"/>
    </row>
    <row r="238" spans="9:9" ht="15.75" customHeight="1">
      <c r="I238" s="28"/>
    </row>
    <row r="239" spans="9:9" ht="15.75" customHeight="1">
      <c r="I239" s="28"/>
    </row>
    <row r="240" spans="9:9" ht="15.75" customHeight="1">
      <c r="I240" s="28"/>
    </row>
    <row r="241" spans="9:9" ht="15.75" customHeight="1">
      <c r="I241" s="28"/>
    </row>
    <row r="242" spans="9:9" ht="15.75" customHeight="1">
      <c r="I242" s="28"/>
    </row>
    <row r="243" spans="9:9" ht="15.75" customHeight="1">
      <c r="I243" s="28"/>
    </row>
    <row r="244" spans="9:9" ht="15.75" customHeight="1">
      <c r="I244" s="28"/>
    </row>
    <row r="245" spans="9:9" ht="15.75" customHeight="1">
      <c r="I245" s="28"/>
    </row>
    <row r="246" spans="9:9" ht="15.75" customHeight="1">
      <c r="I246" s="28"/>
    </row>
    <row r="247" spans="9:9" ht="15.75" customHeight="1">
      <c r="I247" s="28"/>
    </row>
    <row r="248" spans="9:9" ht="15.75" customHeight="1">
      <c r="I248" s="28"/>
    </row>
    <row r="249" spans="9:9" ht="15.75" customHeight="1">
      <c r="I249" s="28"/>
    </row>
    <row r="250" spans="9:9" ht="15.75" customHeight="1">
      <c r="I250" s="28"/>
    </row>
    <row r="251" spans="9:9" ht="15.75" customHeight="1">
      <c r="I251" s="28"/>
    </row>
    <row r="252" spans="9:9" ht="15.75" customHeight="1">
      <c r="I252" s="28"/>
    </row>
    <row r="253" spans="9:9" ht="15.75" customHeight="1">
      <c r="I253" s="28"/>
    </row>
    <row r="254" spans="9:9" ht="15.75" customHeight="1">
      <c r="I254" s="28"/>
    </row>
    <row r="255" spans="9:9" ht="15.75" customHeight="1">
      <c r="I255" s="28"/>
    </row>
    <row r="256" spans="9:9" ht="15.75" customHeight="1">
      <c r="I256" s="28"/>
    </row>
    <row r="257" spans="9:9" ht="15.75" customHeight="1">
      <c r="I257" s="28"/>
    </row>
    <row r="258" spans="9:9" ht="15.75" customHeight="1">
      <c r="I258" s="28"/>
    </row>
    <row r="259" spans="9:9" ht="15.75" customHeight="1">
      <c r="I259" s="28"/>
    </row>
    <row r="260" spans="9:9" ht="15.75" customHeight="1">
      <c r="I260" s="28"/>
    </row>
    <row r="261" spans="9:9" ht="15.75" customHeight="1">
      <c r="I261" s="28"/>
    </row>
    <row r="262" spans="9:9" ht="15.75" customHeight="1">
      <c r="I262" s="28"/>
    </row>
    <row r="263" spans="9:9" ht="15.75" customHeight="1">
      <c r="I263" s="28"/>
    </row>
    <row r="264" spans="9:9" ht="15.75" customHeight="1">
      <c r="I264" s="28"/>
    </row>
    <row r="265" spans="9:9" ht="15.75" customHeight="1">
      <c r="I265" s="28"/>
    </row>
    <row r="266" spans="9:9" ht="15.75" customHeight="1">
      <c r="I266" s="28"/>
    </row>
    <row r="267" spans="9:9" ht="15.75" customHeight="1">
      <c r="I267" s="28"/>
    </row>
    <row r="268" spans="9:9" ht="15.75" customHeight="1">
      <c r="I268" s="28"/>
    </row>
    <row r="269" spans="9:9" ht="15.75" customHeight="1">
      <c r="I269" s="28"/>
    </row>
    <row r="270" spans="9:9" ht="15.75" customHeight="1">
      <c r="I270" s="28"/>
    </row>
    <row r="271" spans="9:9" ht="15.75" customHeight="1">
      <c r="I271" s="28"/>
    </row>
    <row r="272" spans="9:9" ht="15.75" customHeight="1">
      <c r="I272" s="28"/>
    </row>
    <row r="273" spans="9:9" ht="15.75" customHeight="1">
      <c r="I273" s="28"/>
    </row>
    <row r="274" spans="9:9" ht="15.75" customHeight="1">
      <c r="I274" s="28"/>
    </row>
    <row r="275" spans="9:9" ht="15.75" customHeight="1">
      <c r="I275" s="28"/>
    </row>
    <row r="276" spans="9:9" ht="15.75" customHeight="1">
      <c r="I276" s="28"/>
    </row>
    <row r="277" spans="9:9" ht="15.75" customHeight="1">
      <c r="I277" s="28"/>
    </row>
    <row r="278" spans="9:9" ht="15.75" customHeight="1">
      <c r="I278" s="28"/>
    </row>
    <row r="279" spans="9:9" ht="15.75" customHeight="1">
      <c r="I279" s="28"/>
    </row>
    <row r="280" spans="9:9" ht="15.75" customHeight="1">
      <c r="I280" s="28"/>
    </row>
    <row r="281" spans="9:9" ht="15.75" customHeight="1">
      <c r="I281" s="28"/>
    </row>
    <row r="282" spans="9:9" ht="15.75" customHeight="1">
      <c r="I282" s="28"/>
    </row>
    <row r="283" spans="9:9" ht="15.75" customHeight="1">
      <c r="I283" s="28"/>
    </row>
    <row r="284" spans="9:9" ht="15.75" customHeight="1">
      <c r="I284" s="28"/>
    </row>
    <row r="285" spans="9:9" ht="15.75" customHeight="1">
      <c r="I285" s="28"/>
    </row>
    <row r="286" spans="9:9" ht="15.75" customHeight="1">
      <c r="I286" s="28"/>
    </row>
    <row r="287" spans="9:9" ht="15.75" customHeight="1">
      <c r="I287" s="28"/>
    </row>
    <row r="288" spans="9:9" ht="15.75" customHeight="1">
      <c r="I288" s="28"/>
    </row>
    <row r="289" spans="9:9" ht="15.75" customHeight="1">
      <c r="I289" s="28"/>
    </row>
    <row r="290" spans="9:9" ht="15.75" customHeight="1">
      <c r="I290" s="28"/>
    </row>
    <row r="291" spans="9:9" ht="15.75" customHeight="1">
      <c r="I291" s="28"/>
    </row>
    <row r="292" spans="9:9" ht="15.75" customHeight="1">
      <c r="I292" s="28"/>
    </row>
    <row r="293" spans="9:9" ht="15.75" customHeight="1">
      <c r="I293" s="28"/>
    </row>
    <row r="294" spans="9:9" ht="15.75" customHeight="1">
      <c r="I294" s="28"/>
    </row>
    <row r="295" spans="9:9" ht="15.75" customHeight="1">
      <c r="I295" s="28"/>
    </row>
    <row r="296" spans="9:9" ht="15.75" customHeight="1">
      <c r="I296" s="28"/>
    </row>
    <row r="297" spans="9:9" ht="15.75" customHeight="1">
      <c r="I297" s="28"/>
    </row>
    <row r="298" spans="9:9" ht="15.75" customHeight="1">
      <c r="I298" s="28"/>
    </row>
    <row r="299" spans="9:9" ht="15.75" customHeight="1">
      <c r="I299" s="28"/>
    </row>
    <row r="300" spans="9:9" ht="15.75" customHeight="1">
      <c r="I300" s="28"/>
    </row>
    <row r="301" spans="9:9" ht="15.75" customHeight="1">
      <c r="I301" s="28"/>
    </row>
    <row r="302" spans="9:9" ht="15.75" customHeight="1">
      <c r="I302" s="28"/>
    </row>
    <row r="303" spans="9:9" ht="15.75" customHeight="1">
      <c r="I303" s="28"/>
    </row>
    <row r="304" spans="9:9" ht="15.75" customHeight="1">
      <c r="I304" s="28"/>
    </row>
    <row r="305" spans="9:9" ht="15.75" customHeight="1">
      <c r="I305" s="28"/>
    </row>
    <row r="306" spans="9:9" ht="15.75" customHeight="1">
      <c r="I306" s="28"/>
    </row>
    <row r="307" spans="9:9" ht="15.75" customHeight="1">
      <c r="I307" s="28"/>
    </row>
    <row r="308" spans="9:9" ht="15.75" customHeight="1">
      <c r="I308" s="28"/>
    </row>
    <row r="309" spans="9:9" ht="15.75" customHeight="1">
      <c r="I309" s="28"/>
    </row>
    <row r="310" spans="9:9" ht="15.75" customHeight="1">
      <c r="I310" s="28"/>
    </row>
    <row r="311" spans="9:9" ht="15.75" customHeight="1">
      <c r="I311" s="28"/>
    </row>
    <row r="312" spans="9:9" ht="15.75" customHeight="1">
      <c r="I312" s="28"/>
    </row>
    <row r="313" spans="9:9" ht="15.75" customHeight="1">
      <c r="I313" s="28"/>
    </row>
    <row r="314" spans="9:9" ht="15.75" customHeight="1">
      <c r="I314" s="28"/>
    </row>
    <row r="315" spans="9:9" ht="15.75" customHeight="1">
      <c r="I315" s="28"/>
    </row>
    <row r="316" spans="9:9" ht="15.75" customHeight="1">
      <c r="I316" s="28"/>
    </row>
    <row r="317" spans="9:9" ht="15.75" customHeight="1">
      <c r="I317" s="28"/>
    </row>
    <row r="318" spans="9:9" ht="15.75" customHeight="1">
      <c r="I318" s="28"/>
    </row>
    <row r="319" spans="9:9" ht="15.75" customHeight="1">
      <c r="I319" s="28"/>
    </row>
    <row r="320" spans="9:9" ht="15.75" customHeight="1">
      <c r="I320" s="28"/>
    </row>
    <row r="321" spans="9:9" ht="15.75" customHeight="1">
      <c r="I321" s="28"/>
    </row>
    <row r="322" spans="9:9" ht="15.75" customHeight="1">
      <c r="I322" s="28"/>
    </row>
    <row r="323" spans="9:9" ht="15.75" customHeight="1">
      <c r="I323" s="28"/>
    </row>
    <row r="324" spans="9:9" ht="15.75" customHeight="1">
      <c r="I324" s="28"/>
    </row>
    <row r="325" spans="9:9" ht="15.75" customHeight="1">
      <c r="I325" s="28"/>
    </row>
    <row r="326" spans="9:9" ht="15.75" customHeight="1">
      <c r="I326" s="28"/>
    </row>
    <row r="327" spans="9:9" ht="15.75" customHeight="1">
      <c r="I327" s="28"/>
    </row>
    <row r="328" spans="9:9" ht="15.75" customHeight="1">
      <c r="I328" s="28"/>
    </row>
    <row r="329" spans="9:9" ht="15.75" customHeight="1">
      <c r="I329" s="28"/>
    </row>
    <row r="330" spans="9:9" ht="15.75" customHeight="1">
      <c r="I330" s="28"/>
    </row>
    <row r="331" spans="9:9" ht="15.75" customHeight="1">
      <c r="I331" s="28"/>
    </row>
    <row r="332" spans="9:9" ht="15.75" customHeight="1">
      <c r="I332" s="28"/>
    </row>
    <row r="333" spans="9:9" ht="15.75" customHeight="1">
      <c r="I333" s="28"/>
    </row>
    <row r="334" spans="9:9" ht="15.75" customHeight="1">
      <c r="I334" s="28"/>
    </row>
    <row r="335" spans="9:9" ht="15.75" customHeight="1">
      <c r="I335" s="28"/>
    </row>
    <row r="336" spans="9:9" ht="15.75" customHeight="1">
      <c r="I336" s="28"/>
    </row>
    <row r="337" spans="9:9" ht="15.75" customHeight="1">
      <c r="I337" s="28"/>
    </row>
    <row r="338" spans="9:9" ht="15.75" customHeight="1">
      <c r="I338" s="28"/>
    </row>
    <row r="339" spans="9:9" ht="15.75" customHeight="1">
      <c r="I339" s="28"/>
    </row>
    <row r="340" spans="9:9" ht="15.75" customHeight="1">
      <c r="I340" s="28"/>
    </row>
    <row r="341" spans="9:9" ht="15.75" customHeight="1">
      <c r="I341" s="28"/>
    </row>
    <row r="342" spans="9:9" ht="15.75" customHeight="1">
      <c r="I342" s="28"/>
    </row>
    <row r="343" spans="9:9" ht="15.75" customHeight="1">
      <c r="I343" s="28"/>
    </row>
    <row r="344" spans="9:9" ht="15.75" customHeight="1">
      <c r="I344" s="28"/>
    </row>
    <row r="345" spans="9:9" ht="15.75" customHeight="1">
      <c r="I345" s="28"/>
    </row>
    <row r="346" spans="9:9" ht="15.75" customHeight="1">
      <c r="I346" s="28"/>
    </row>
    <row r="347" spans="9:9" ht="15.75" customHeight="1">
      <c r="I347" s="28"/>
    </row>
    <row r="348" spans="9:9" ht="15.75" customHeight="1">
      <c r="I348" s="28"/>
    </row>
    <row r="349" spans="9:9" ht="15.75" customHeight="1">
      <c r="I349" s="28"/>
    </row>
    <row r="350" spans="9:9" ht="15.75" customHeight="1">
      <c r="I350" s="28"/>
    </row>
    <row r="351" spans="9:9" ht="15.75" customHeight="1">
      <c r="I351" s="28"/>
    </row>
    <row r="352" spans="9:9" ht="15.75" customHeight="1">
      <c r="I352" s="28"/>
    </row>
    <row r="353" spans="9:9" ht="15.75" customHeight="1">
      <c r="I353" s="28"/>
    </row>
    <row r="354" spans="9:9" ht="15.75" customHeight="1">
      <c r="I354" s="28"/>
    </row>
    <row r="355" spans="9:9" ht="15.75" customHeight="1">
      <c r="I355" s="28"/>
    </row>
    <row r="356" spans="9:9" ht="15.75" customHeight="1">
      <c r="I356" s="28"/>
    </row>
    <row r="357" spans="9:9" ht="15.75" customHeight="1">
      <c r="I357" s="28"/>
    </row>
    <row r="358" spans="9:9" ht="15.75" customHeight="1">
      <c r="I358" s="28"/>
    </row>
    <row r="359" spans="9:9" ht="15.75" customHeight="1">
      <c r="I359" s="28"/>
    </row>
    <row r="360" spans="9:9" ht="15.75" customHeight="1">
      <c r="I360" s="28"/>
    </row>
    <row r="361" spans="9:9" ht="15.75" customHeight="1">
      <c r="I361" s="28"/>
    </row>
    <row r="362" spans="9:9" ht="15.75" customHeight="1">
      <c r="I362" s="28"/>
    </row>
    <row r="363" spans="9:9" ht="15.75" customHeight="1">
      <c r="I363" s="28"/>
    </row>
    <row r="364" spans="9:9" ht="15.75" customHeight="1">
      <c r="I364" s="28"/>
    </row>
    <row r="365" spans="9:9" ht="15.75" customHeight="1">
      <c r="I365" s="28"/>
    </row>
    <row r="366" spans="9:9" ht="15.75" customHeight="1">
      <c r="I366" s="28"/>
    </row>
    <row r="367" spans="9:9" ht="15.75" customHeight="1">
      <c r="I367" s="28"/>
    </row>
    <row r="368" spans="9:9" ht="15.75" customHeight="1">
      <c r="I368" s="28"/>
    </row>
    <row r="369" spans="9:9" ht="15.75" customHeight="1">
      <c r="I369" s="28"/>
    </row>
    <row r="370" spans="9:9" ht="15.75" customHeight="1">
      <c r="I370" s="28"/>
    </row>
    <row r="371" spans="9:9" ht="15.75" customHeight="1">
      <c r="I371" s="28"/>
    </row>
    <row r="372" spans="9:9" ht="15.75" customHeight="1">
      <c r="I372" s="28"/>
    </row>
    <row r="373" spans="9:9" ht="15.75" customHeight="1">
      <c r="I373" s="28"/>
    </row>
    <row r="374" spans="9:9" ht="15.75" customHeight="1">
      <c r="I374" s="28"/>
    </row>
    <row r="375" spans="9:9" ht="15.75" customHeight="1">
      <c r="I375" s="28"/>
    </row>
    <row r="376" spans="9:9" ht="15.75" customHeight="1">
      <c r="I376" s="28"/>
    </row>
    <row r="377" spans="9:9" ht="15.75" customHeight="1">
      <c r="I377" s="28"/>
    </row>
    <row r="378" spans="9:9" ht="15.75" customHeight="1">
      <c r="I378" s="28"/>
    </row>
    <row r="379" spans="9:9" ht="15.75" customHeight="1">
      <c r="I379" s="28"/>
    </row>
    <row r="380" spans="9:9" ht="15.75" customHeight="1">
      <c r="I380" s="28"/>
    </row>
    <row r="381" spans="9:9" ht="15.75" customHeight="1">
      <c r="I381" s="28"/>
    </row>
    <row r="382" spans="9:9" ht="15.75" customHeight="1">
      <c r="I382" s="28"/>
    </row>
    <row r="383" spans="9:9" ht="15.75" customHeight="1">
      <c r="I383" s="28"/>
    </row>
    <row r="384" spans="9:9" ht="15.75" customHeight="1">
      <c r="I384" s="28"/>
    </row>
    <row r="385" spans="9:9" ht="15.75" customHeight="1">
      <c r="I385" s="28"/>
    </row>
    <row r="386" spans="9:9" ht="15.75" customHeight="1">
      <c r="I386" s="28"/>
    </row>
    <row r="387" spans="9:9" ht="15.75" customHeight="1">
      <c r="I387" s="28"/>
    </row>
    <row r="388" spans="9:9" ht="15.75" customHeight="1">
      <c r="I388" s="28"/>
    </row>
    <row r="389" spans="9:9" ht="15.75" customHeight="1">
      <c r="I389" s="28"/>
    </row>
    <row r="390" spans="9:9" ht="15.75" customHeight="1">
      <c r="I390" s="28"/>
    </row>
    <row r="391" spans="9:9" ht="15.75" customHeight="1">
      <c r="I391" s="28"/>
    </row>
    <row r="392" spans="9:9" ht="15.75" customHeight="1">
      <c r="I392" s="28"/>
    </row>
    <row r="393" spans="9:9" ht="15.75" customHeight="1">
      <c r="I393" s="28"/>
    </row>
    <row r="394" spans="9:9" ht="15.75" customHeight="1">
      <c r="I394" s="28"/>
    </row>
    <row r="395" spans="9:9" ht="15.75" customHeight="1">
      <c r="I395" s="28"/>
    </row>
    <row r="396" spans="9:9" ht="15.75" customHeight="1">
      <c r="I396" s="28"/>
    </row>
    <row r="397" spans="9:9" ht="15.75" customHeight="1">
      <c r="I397" s="28"/>
    </row>
    <row r="398" spans="9:9" ht="15.75" customHeight="1">
      <c r="I398" s="28"/>
    </row>
    <row r="399" spans="9:9" ht="15.75" customHeight="1">
      <c r="I399" s="28"/>
    </row>
    <row r="400" spans="9:9" ht="15.75" customHeight="1">
      <c r="I400" s="28"/>
    </row>
    <row r="401" spans="9:9" ht="15.75" customHeight="1">
      <c r="I401" s="28"/>
    </row>
    <row r="402" spans="9:9" ht="15.75" customHeight="1">
      <c r="I402" s="28"/>
    </row>
    <row r="403" spans="9:9" ht="15.75" customHeight="1">
      <c r="I403" s="28"/>
    </row>
    <row r="404" spans="9:9" ht="15.75" customHeight="1">
      <c r="I404" s="28"/>
    </row>
    <row r="405" spans="9:9" ht="15.75" customHeight="1">
      <c r="I405" s="28"/>
    </row>
    <row r="406" spans="9:9" ht="15.75" customHeight="1">
      <c r="I406" s="28"/>
    </row>
    <row r="407" spans="9:9" ht="15.75" customHeight="1">
      <c r="I407" s="28"/>
    </row>
    <row r="408" spans="9:9" ht="15.75" customHeight="1">
      <c r="I408" s="28"/>
    </row>
    <row r="409" spans="9:9" ht="15.75" customHeight="1">
      <c r="I409" s="28"/>
    </row>
    <row r="410" spans="9:9" ht="15.75" customHeight="1">
      <c r="I410" s="28"/>
    </row>
    <row r="411" spans="9:9" ht="15.75" customHeight="1">
      <c r="I411" s="28"/>
    </row>
    <row r="412" spans="9:9" ht="15.75" customHeight="1">
      <c r="I412" s="28"/>
    </row>
    <row r="413" spans="9:9" ht="15.75" customHeight="1">
      <c r="I413" s="28"/>
    </row>
    <row r="414" spans="9:9" ht="15.75" customHeight="1">
      <c r="I414" s="28"/>
    </row>
    <row r="415" spans="9:9" ht="15.75" customHeight="1">
      <c r="I415" s="28"/>
    </row>
    <row r="416" spans="9:9" ht="15.75" customHeight="1">
      <c r="I416" s="28"/>
    </row>
    <row r="417" spans="9:9" ht="15.75" customHeight="1">
      <c r="I417" s="28"/>
    </row>
    <row r="418" spans="9:9" ht="15.75" customHeight="1">
      <c r="I418" s="28"/>
    </row>
    <row r="419" spans="9:9" ht="15.75" customHeight="1">
      <c r="I419" s="28"/>
    </row>
    <row r="420" spans="9:9" ht="15.75" customHeight="1">
      <c r="I420" s="28"/>
    </row>
    <row r="421" spans="9:9" ht="15.75" customHeight="1">
      <c r="I421" s="28"/>
    </row>
    <row r="422" spans="9:9" ht="15.75" customHeight="1">
      <c r="I422" s="28"/>
    </row>
    <row r="423" spans="9:9" ht="15.75" customHeight="1">
      <c r="I423" s="28"/>
    </row>
    <row r="424" spans="9:9" ht="15.75" customHeight="1">
      <c r="I424" s="28"/>
    </row>
    <row r="425" spans="9:9" ht="15.75" customHeight="1">
      <c r="I425" s="28"/>
    </row>
    <row r="426" spans="9:9" ht="15.75" customHeight="1">
      <c r="I426" s="28"/>
    </row>
    <row r="427" spans="9:9" ht="15.75" customHeight="1">
      <c r="I427" s="28"/>
    </row>
    <row r="428" spans="9:9" ht="15.75" customHeight="1">
      <c r="I428" s="28"/>
    </row>
    <row r="429" spans="9:9" ht="15.75" customHeight="1">
      <c r="I429" s="28"/>
    </row>
    <row r="430" spans="9:9" ht="15.75" customHeight="1">
      <c r="I430" s="28"/>
    </row>
    <row r="431" spans="9:9" ht="15.75" customHeight="1">
      <c r="I431" s="28"/>
    </row>
    <row r="432" spans="9:9" ht="15.75" customHeight="1">
      <c r="I432" s="28"/>
    </row>
    <row r="433" spans="9:9" ht="15.75" customHeight="1">
      <c r="I433" s="28"/>
    </row>
    <row r="434" spans="9:9" ht="15.75" customHeight="1">
      <c r="I434" s="28"/>
    </row>
    <row r="435" spans="9:9" ht="15.75" customHeight="1">
      <c r="I435" s="28"/>
    </row>
    <row r="436" spans="9:9" ht="15.75" customHeight="1">
      <c r="I436" s="28"/>
    </row>
    <row r="437" spans="9:9" ht="15.75" customHeight="1">
      <c r="I437" s="28"/>
    </row>
    <row r="438" spans="9:9" ht="15.75" customHeight="1">
      <c r="I438" s="28"/>
    </row>
    <row r="439" spans="9:9" ht="15.75" customHeight="1">
      <c r="I439" s="28"/>
    </row>
    <row r="440" spans="9:9" ht="15.75" customHeight="1">
      <c r="I440" s="28"/>
    </row>
    <row r="441" spans="9:9" ht="15.75" customHeight="1">
      <c r="I441" s="28"/>
    </row>
    <row r="442" spans="9:9" ht="15.75" customHeight="1">
      <c r="I442" s="28"/>
    </row>
    <row r="443" spans="9:9" ht="15.75" customHeight="1">
      <c r="I443" s="28"/>
    </row>
    <row r="444" spans="9:9" ht="15.75" customHeight="1">
      <c r="I444" s="28"/>
    </row>
    <row r="445" spans="9:9" ht="15.75" customHeight="1">
      <c r="I445" s="28"/>
    </row>
    <row r="446" spans="9:9" ht="15.75" customHeight="1">
      <c r="I446" s="28"/>
    </row>
    <row r="447" spans="9:9" ht="15.75" customHeight="1">
      <c r="I447" s="28"/>
    </row>
    <row r="448" spans="9:9" ht="15.75" customHeight="1">
      <c r="I448" s="28"/>
    </row>
    <row r="449" spans="9:9" ht="15.75" customHeight="1">
      <c r="I449" s="28"/>
    </row>
    <row r="450" spans="9:9" ht="15.75" customHeight="1">
      <c r="I450" s="28"/>
    </row>
    <row r="451" spans="9:9" ht="15.75" customHeight="1">
      <c r="I451" s="28"/>
    </row>
    <row r="452" spans="9:9" ht="15.75" customHeight="1">
      <c r="I452" s="28"/>
    </row>
    <row r="453" spans="9:9" ht="15.75" customHeight="1">
      <c r="I453" s="28"/>
    </row>
    <row r="454" spans="9:9" ht="15.75" customHeight="1">
      <c r="I454" s="28"/>
    </row>
    <row r="455" spans="9:9" ht="15.75" customHeight="1">
      <c r="I455" s="28"/>
    </row>
    <row r="456" spans="9:9" ht="15.75" customHeight="1">
      <c r="I456" s="28"/>
    </row>
    <row r="457" spans="9:9" ht="15.75" customHeight="1">
      <c r="I457" s="28"/>
    </row>
    <row r="458" spans="9:9" ht="15.75" customHeight="1">
      <c r="I458" s="28"/>
    </row>
    <row r="459" spans="9:9" ht="15.75" customHeight="1">
      <c r="I459" s="28"/>
    </row>
    <row r="460" spans="9:9" ht="15.75" customHeight="1">
      <c r="I460" s="28"/>
    </row>
    <row r="461" spans="9:9" ht="15.75" customHeight="1">
      <c r="I461" s="28"/>
    </row>
    <row r="462" spans="9:9" ht="15.75" customHeight="1">
      <c r="I462" s="28"/>
    </row>
    <row r="463" spans="9:9" ht="15.75" customHeight="1">
      <c r="I463" s="28"/>
    </row>
    <row r="464" spans="9:9" ht="15.75" customHeight="1">
      <c r="I464" s="28"/>
    </row>
    <row r="465" spans="9:9" ht="15.75" customHeight="1">
      <c r="I465" s="28"/>
    </row>
    <row r="466" spans="9:9" ht="15.75" customHeight="1">
      <c r="I466" s="28"/>
    </row>
    <row r="467" spans="9:9" ht="15.75" customHeight="1">
      <c r="I467" s="28"/>
    </row>
    <row r="468" spans="9:9" ht="15.75" customHeight="1">
      <c r="I468" s="28"/>
    </row>
    <row r="469" spans="9:9" ht="15.75" customHeight="1">
      <c r="I469" s="28"/>
    </row>
    <row r="470" spans="9:9" ht="15.75" customHeight="1">
      <c r="I470" s="28"/>
    </row>
    <row r="471" spans="9:9" ht="15.75" customHeight="1">
      <c r="I471" s="28"/>
    </row>
    <row r="472" spans="9:9" ht="15.75" customHeight="1">
      <c r="I472" s="28"/>
    </row>
    <row r="473" spans="9:9" ht="15.75" customHeight="1">
      <c r="I473" s="28"/>
    </row>
    <row r="474" spans="9:9" ht="15.75" customHeight="1">
      <c r="I474" s="28"/>
    </row>
    <row r="475" spans="9:9" ht="15.75" customHeight="1">
      <c r="I475" s="28"/>
    </row>
    <row r="476" spans="9:9" ht="15.75" customHeight="1">
      <c r="I476" s="28"/>
    </row>
    <row r="477" spans="9:9" ht="15.75" customHeight="1">
      <c r="I477" s="28"/>
    </row>
    <row r="478" spans="9:9" ht="15.75" customHeight="1">
      <c r="I478" s="28"/>
    </row>
    <row r="479" spans="9:9" ht="15.75" customHeight="1">
      <c r="I479" s="28"/>
    </row>
    <row r="480" spans="9:9" ht="15.75" customHeight="1">
      <c r="I480" s="28"/>
    </row>
    <row r="481" spans="9:9" ht="15.75" customHeight="1">
      <c r="I481" s="28"/>
    </row>
    <row r="482" spans="9:9" ht="15.75" customHeight="1">
      <c r="I482" s="28"/>
    </row>
    <row r="483" spans="9:9" ht="15.75" customHeight="1">
      <c r="I483" s="28"/>
    </row>
    <row r="484" spans="9:9" ht="15.75" customHeight="1">
      <c r="I484" s="28"/>
    </row>
    <row r="485" spans="9:9" ht="15.75" customHeight="1">
      <c r="I485" s="28"/>
    </row>
    <row r="486" spans="9:9" ht="15.75" customHeight="1">
      <c r="I486" s="28"/>
    </row>
    <row r="487" spans="9:9" ht="15.75" customHeight="1">
      <c r="I487" s="28"/>
    </row>
    <row r="488" spans="9:9" ht="15.75" customHeight="1">
      <c r="I488" s="28"/>
    </row>
    <row r="489" spans="9:9" ht="15.75" customHeight="1">
      <c r="I489" s="28"/>
    </row>
    <row r="490" spans="9:9" ht="15.75" customHeight="1">
      <c r="I490" s="28"/>
    </row>
    <row r="491" spans="9:9" ht="15.75" customHeight="1">
      <c r="I491" s="28"/>
    </row>
    <row r="492" spans="9:9" ht="15.75" customHeight="1">
      <c r="I492" s="28"/>
    </row>
    <row r="493" spans="9:9" ht="15.75" customHeight="1">
      <c r="I493" s="28"/>
    </row>
    <row r="494" spans="9:9" ht="15.75" customHeight="1">
      <c r="I494" s="28"/>
    </row>
    <row r="495" spans="9:9" ht="15.75" customHeight="1">
      <c r="I495" s="28"/>
    </row>
    <row r="496" spans="9:9" ht="15.75" customHeight="1">
      <c r="I496" s="28"/>
    </row>
    <row r="497" spans="9:9" ht="15.75" customHeight="1">
      <c r="I497" s="28"/>
    </row>
    <row r="498" spans="9:9" ht="15.75" customHeight="1">
      <c r="I498" s="28"/>
    </row>
    <row r="499" spans="9:9" ht="15.75" customHeight="1">
      <c r="I499" s="28"/>
    </row>
    <row r="500" spans="9:9" ht="15.75" customHeight="1">
      <c r="I500" s="28"/>
    </row>
    <row r="501" spans="9:9" ht="15.75" customHeight="1">
      <c r="I501" s="28"/>
    </row>
    <row r="502" spans="9:9" ht="15.75" customHeight="1">
      <c r="I502" s="28"/>
    </row>
    <row r="503" spans="9:9" ht="15.75" customHeight="1">
      <c r="I503" s="28"/>
    </row>
    <row r="504" spans="9:9" ht="15.75" customHeight="1">
      <c r="I504" s="28"/>
    </row>
    <row r="505" spans="9:9" ht="15.75" customHeight="1">
      <c r="I505" s="28"/>
    </row>
    <row r="506" spans="9:9" ht="15.75" customHeight="1">
      <c r="I506" s="28"/>
    </row>
    <row r="507" spans="9:9" ht="15.75" customHeight="1">
      <c r="I507" s="28"/>
    </row>
    <row r="508" spans="9:9" ht="15.75" customHeight="1">
      <c r="I508" s="28"/>
    </row>
    <row r="509" spans="9:9" ht="15.75" customHeight="1">
      <c r="I509" s="28"/>
    </row>
    <row r="510" spans="9:9" ht="15.75" customHeight="1">
      <c r="I510" s="28"/>
    </row>
    <row r="511" spans="9:9" ht="15.75" customHeight="1">
      <c r="I511" s="28"/>
    </row>
    <row r="512" spans="9:9" ht="15.75" customHeight="1">
      <c r="I512" s="28"/>
    </row>
    <row r="513" spans="9:9" ht="15.75" customHeight="1">
      <c r="I513" s="28"/>
    </row>
    <row r="514" spans="9:9" ht="15.75" customHeight="1">
      <c r="I514" s="28"/>
    </row>
    <row r="515" spans="9:9" ht="15.75" customHeight="1">
      <c r="I515" s="28"/>
    </row>
    <row r="516" spans="9:9" ht="15.75" customHeight="1">
      <c r="I516" s="28"/>
    </row>
    <row r="517" spans="9:9" ht="15.75" customHeight="1">
      <c r="I517" s="28"/>
    </row>
    <row r="518" spans="9:9" ht="15.75" customHeight="1">
      <c r="I518" s="28"/>
    </row>
    <row r="519" spans="9:9" ht="15.75" customHeight="1">
      <c r="I519" s="28"/>
    </row>
    <row r="520" spans="9:9" ht="15.75" customHeight="1">
      <c r="I520" s="28"/>
    </row>
    <row r="521" spans="9:9" ht="15.75" customHeight="1">
      <c r="I521" s="28"/>
    </row>
    <row r="522" spans="9:9" ht="15.75" customHeight="1">
      <c r="I522" s="28"/>
    </row>
    <row r="523" spans="9:9" ht="15.75" customHeight="1">
      <c r="I523" s="28"/>
    </row>
    <row r="524" spans="9:9" ht="15.75" customHeight="1">
      <c r="I524" s="28"/>
    </row>
    <row r="525" spans="9:9" ht="15.75" customHeight="1">
      <c r="I525" s="28"/>
    </row>
    <row r="526" spans="9:9" ht="15.75" customHeight="1">
      <c r="I526" s="28"/>
    </row>
    <row r="527" spans="9:9" ht="15.75" customHeight="1">
      <c r="I527" s="28"/>
    </row>
    <row r="528" spans="9:9" ht="15.75" customHeight="1">
      <c r="I528" s="28"/>
    </row>
    <row r="529" spans="9:9" ht="15.75" customHeight="1">
      <c r="I529" s="28"/>
    </row>
    <row r="530" spans="9:9" ht="15.75" customHeight="1">
      <c r="I530" s="28"/>
    </row>
    <row r="531" spans="9:9" ht="15.75" customHeight="1">
      <c r="I531" s="28"/>
    </row>
    <row r="532" spans="9:9" ht="15.75" customHeight="1">
      <c r="I532" s="28"/>
    </row>
    <row r="533" spans="9:9" ht="15.75" customHeight="1">
      <c r="I533" s="28"/>
    </row>
    <row r="534" spans="9:9" ht="15.75" customHeight="1">
      <c r="I534" s="28"/>
    </row>
    <row r="535" spans="9:9" ht="15.75" customHeight="1">
      <c r="I535" s="28"/>
    </row>
    <row r="536" spans="9:9" ht="15.75" customHeight="1">
      <c r="I536" s="28"/>
    </row>
    <row r="537" spans="9:9" ht="15.75" customHeight="1">
      <c r="I537" s="28"/>
    </row>
    <row r="538" spans="9:9" ht="15.75" customHeight="1">
      <c r="I538" s="28"/>
    </row>
    <row r="539" spans="9:9" ht="15.75" customHeight="1">
      <c r="I539" s="28"/>
    </row>
    <row r="540" spans="9:9" ht="15.75" customHeight="1">
      <c r="I540" s="28"/>
    </row>
    <row r="541" spans="9:9" ht="15.75" customHeight="1">
      <c r="I541" s="28"/>
    </row>
    <row r="542" spans="9:9" ht="15.75" customHeight="1">
      <c r="I542" s="28"/>
    </row>
    <row r="543" spans="9:9" ht="15.75" customHeight="1">
      <c r="I543" s="28"/>
    </row>
    <row r="544" spans="9:9" ht="15.75" customHeight="1">
      <c r="I544" s="28"/>
    </row>
    <row r="545" spans="9:9" ht="15.75" customHeight="1">
      <c r="I545" s="28"/>
    </row>
    <row r="546" spans="9:9" ht="15.75" customHeight="1">
      <c r="I546" s="28"/>
    </row>
    <row r="547" spans="9:9" ht="15.75" customHeight="1">
      <c r="I547" s="28"/>
    </row>
    <row r="548" spans="9:9" ht="15.75" customHeight="1">
      <c r="I548" s="28"/>
    </row>
    <row r="549" spans="9:9" ht="15.75" customHeight="1">
      <c r="I549" s="28"/>
    </row>
    <row r="550" spans="9:9" ht="15.75" customHeight="1">
      <c r="I550" s="28"/>
    </row>
    <row r="551" spans="9:9" ht="15.75" customHeight="1">
      <c r="I551" s="28"/>
    </row>
    <row r="552" spans="9:9" ht="15.75" customHeight="1">
      <c r="I552" s="28"/>
    </row>
    <row r="553" spans="9:9" ht="15.75" customHeight="1">
      <c r="I553" s="28"/>
    </row>
    <row r="554" spans="9:9" ht="15.75" customHeight="1">
      <c r="I554" s="28"/>
    </row>
    <row r="555" spans="9:9" ht="15.75" customHeight="1">
      <c r="I555" s="28"/>
    </row>
    <row r="556" spans="9:9" ht="15.75" customHeight="1">
      <c r="I556" s="28"/>
    </row>
    <row r="557" spans="9:9" ht="15.75" customHeight="1">
      <c r="I557" s="28"/>
    </row>
    <row r="558" spans="9:9" ht="15.75" customHeight="1">
      <c r="I558" s="28"/>
    </row>
    <row r="559" spans="9:9" ht="15.75" customHeight="1">
      <c r="I559" s="28"/>
    </row>
    <row r="560" spans="9:9" ht="15.75" customHeight="1">
      <c r="I560" s="28"/>
    </row>
    <row r="561" spans="9:9" ht="15.75" customHeight="1">
      <c r="I561" s="28"/>
    </row>
    <row r="562" spans="9:9" ht="15.75" customHeight="1">
      <c r="I562" s="28"/>
    </row>
    <row r="563" spans="9:9" ht="15.75" customHeight="1">
      <c r="I563" s="28"/>
    </row>
    <row r="564" spans="9:9" ht="15.75" customHeight="1">
      <c r="I564" s="28"/>
    </row>
    <row r="565" spans="9:9" ht="15.75" customHeight="1">
      <c r="I565" s="28"/>
    </row>
    <row r="566" spans="9:9" ht="15.75" customHeight="1">
      <c r="I566" s="28"/>
    </row>
    <row r="567" spans="9:9" ht="15.75" customHeight="1">
      <c r="I567" s="28"/>
    </row>
    <row r="568" spans="9:9" ht="15.75" customHeight="1">
      <c r="I568" s="28"/>
    </row>
    <row r="569" spans="9:9" ht="15.75" customHeight="1">
      <c r="I569" s="28"/>
    </row>
    <row r="570" spans="9:9" ht="15.75" customHeight="1">
      <c r="I570" s="28"/>
    </row>
    <row r="571" spans="9:9" ht="15.75" customHeight="1">
      <c r="I571" s="28"/>
    </row>
    <row r="572" spans="9:9" ht="15.75" customHeight="1">
      <c r="I572" s="28"/>
    </row>
    <row r="573" spans="9:9" ht="15.75" customHeight="1">
      <c r="I573" s="28"/>
    </row>
    <row r="574" spans="9:9" ht="15.75" customHeight="1">
      <c r="I574" s="28"/>
    </row>
    <row r="575" spans="9:9" ht="15.75" customHeight="1">
      <c r="I575" s="28"/>
    </row>
    <row r="576" spans="9:9" ht="15.75" customHeight="1">
      <c r="I576" s="28"/>
    </row>
    <row r="577" spans="9:9" ht="15.75" customHeight="1">
      <c r="I577" s="28"/>
    </row>
    <row r="578" spans="9:9" ht="15.75" customHeight="1">
      <c r="I578" s="28"/>
    </row>
    <row r="579" spans="9:9" ht="15.75" customHeight="1">
      <c r="I579" s="28"/>
    </row>
    <row r="580" spans="9:9" ht="15.75" customHeight="1">
      <c r="I580" s="28"/>
    </row>
    <row r="581" spans="9:9" ht="15.75" customHeight="1">
      <c r="I581" s="28"/>
    </row>
    <row r="582" spans="9:9" ht="15.75" customHeight="1">
      <c r="I582" s="28"/>
    </row>
    <row r="583" spans="9:9" ht="15.75" customHeight="1">
      <c r="I583" s="28"/>
    </row>
    <row r="584" spans="9:9" ht="15.75" customHeight="1">
      <c r="I584" s="28"/>
    </row>
    <row r="585" spans="9:9" ht="15.75" customHeight="1">
      <c r="I585" s="28"/>
    </row>
    <row r="586" spans="9:9" ht="15.75" customHeight="1">
      <c r="I586" s="28"/>
    </row>
    <row r="587" spans="9:9" ht="15.75" customHeight="1">
      <c r="I587" s="28"/>
    </row>
    <row r="588" spans="9:9" ht="15.75" customHeight="1">
      <c r="I588" s="28"/>
    </row>
    <row r="589" spans="9:9" ht="15.75" customHeight="1">
      <c r="I589" s="28"/>
    </row>
    <row r="590" spans="9:9" ht="15.75" customHeight="1">
      <c r="I590" s="28"/>
    </row>
    <row r="591" spans="9:9" ht="15.75" customHeight="1">
      <c r="I591" s="28"/>
    </row>
    <row r="592" spans="9:9" ht="15.75" customHeight="1">
      <c r="I592" s="28"/>
    </row>
    <row r="593" spans="9:9" ht="15.75" customHeight="1">
      <c r="I593" s="28"/>
    </row>
    <row r="594" spans="9:9" ht="15.75" customHeight="1">
      <c r="I594" s="28"/>
    </row>
    <row r="595" spans="9:9" ht="15.75" customHeight="1">
      <c r="I595" s="28"/>
    </row>
    <row r="596" spans="9:9" ht="15.75" customHeight="1">
      <c r="I596" s="28"/>
    </row>
    <row r="597" spans="9:9" ht="15.75" customHeight="1">
      <c r="I597" s="28"/>
    </row>
    <row r="598" spans="9:9" ht="15.75" customHeight="1">
      <c r="I598" s="28"/>
    </row>
    <row r="599" spans="9:9" ht="15.75" customHeight="1">
      <c r="I599" s="28"/>
    </row>
    <row r="600" spans="9:9" ht="15.75" customHeight="1">
      <c r="I600" s="28"/>
    </row>
    <row r="601" spans="9:9" ht="15.75" customHeight="1">
      <c r="I601" s="28"/>
    </row>
    <row r="602" spans="9:9" ht="15.75" customHeight="1">
      <c r="I602" s="28"/>
    </row>
    <row r="603" spans="9:9" ht="15.75" customHeight="1">
      <c r="I603" s="28"/>
    </row>
    <row r="604" spans="9:9" ht="15.75" customHeight="1">
      <c r="I604" s="28"/>
    </row>
    <row r="605" spans="9:9" ht="15.75" customHeight="1">
      <c r="I605" s="28"/>
    </row>
    <row r="606" spans="9:9" ht="15.75" customHeight="1">
      <c r="I606" s="28"/>
    </row>
    <row r="607" spans="9:9" ht="15.75" customHeight="1">
      <c r="I607" s="28"/>
    </row>
    <row r="608" spans="9:9" ht="15.75" customHeight="1">
      <c r="I608" s="28"/>
    </row>
    <row r="609" spans="9:9" ht="15.75" customHeight="1">
      <c r="I609" s="28"/>
    </row>
    <row r="610" spans="9:9" ht="15.75" customHeight="1">
      <c r="I610" s="28"/>
    </row>
    <row r="611" spans="9:9" ht="15.75" customHeight="1">
      <c r="I611" s="28"/>
    </row>
    <row r="612" spans="9:9" ht="15.75" customHeight="1">
      <c r="I612" s="28"/>
    </row>
    <row r="613" spans="9:9" ht="15.75" customHeight="1">
      <c r="I613" s="28"/>
    </row>
    <row r="614" spans="9:9" ht="15.75" customHeight="1">
      <c r="I614" s="28"/>
    </row>
    <row r="615" spans="9:9" ht="15.75" customHeight="1">
      <c r="I615" s="28"/>
    </row>
    <row r="616" spans="9:9" ht="15.75" customHeight="1">
      <c r="I616" s="28"/>
    </row>
    <row r="617" spans="9:9" ht="15.75" customHeight="1">
      <c r="I617" s="28"/>
    </row>
    <row r="618" spans="9:9" ht="15.75" customHeight="1">
      <c r="I618" s="28"/>
    </row>
    <row r="619" spans="9:9" ht="15.75" customHeight="1">
      <c r="I619" s="28"/>
    </row>
    <row r="620" spans="9:9" ht="15.75" customHeight="1">
      <c r="I620" s="28"/>
    </row>
    <row r="621" spans="9:9" ht="15.75" customHeight="1">
      <c r="I621" s="28"/>
    </row>
    <row r="622" spans="9:9" ht="15.75" customHeight="1">
      <c r="I622" s="28"/>
    </row>
    <row r="623" spans="9:9" ht="15.75" customHeight="1">
      <c r="I623" s="28"/>
    </row>
    <row r="624" spans="9:9" ht="15.75" customHeight="1">
      <c r="I624" s="28"/>
    </row>
    <row r="625" spans="9:9" ht="15.75" customHeight="1">
      <c r="I625" s="28"/>
    </row>
    <row r="626" spans="9:9" ht="15.75" customHeight="1">
      <c r="I626" s="28"/>
    </row>
    <row r="627" spans="9:9" ht="15.75" customHeight="1">
      <c r="I627" s="28"/>
    </row>
    <row r="628" spans="9:9" ht="15.75" customHeight="1">
      <c r="I628" s="28"/>
    </row>
    <row r="629" spans="9:9" ht="15.75" customHeight="1">
      <c r="I629" s="28"/>
    </row>
    <row r="630" spans="9:9" ht="15.75" customHeight="1">
      <c r="I630" s="28"/>
    </row>
    <row r="631" spans="9:9" ht="15.75" customHeight="1">
      <c r="I631" s="28"/>
    </row>
    <row r="632" spans="9:9" ht="15.75" customHeight="1">
      <c r="I632" s="28"/>
    </row>
    <row r="633" spans="9:9" ht="15.75" customHeight="1">
      <c r="I633" s="28"/>
    </row>
    <row r="634" spans="9:9" ht="15.75" customHeight="1">
      <c r="I634" s="28"/>
    </row>
    <row r="635" spans="9:9" ht="15.75" customHeight="1">
      <c r="I635" s="28"/>
    </row>
    <row r="636" spans="9:9" ht="15.75" customHeight="1">
      <c r="I636" s="28"/>
    </row>
    <row r="637" spans="9:9" ht="15.75" customHeight="1">
      <c r="I637" s="28"/>
    </row>
    <row r="638" spans="9:9" ht="15.75" customHeight="1">
      <c r="I638" s="28"/>
    </row>
    <row r="639" spans="9:9" ht="15.75" customHeight="1">
      <c r="I639" s="28"/>
    </row>
    <row r="640" spans="9:9" ht="15.75" customHeight="1">
      <c r="I640" s="28"/>
    </row>
    <row r="641" spans="9:9" ht="15.75" customHeight="1">
      <c r="I641" s="28"/>
    </row>
    <row r="642" spans="9:9" ht="15.75" customHeight="1">
      <c r="I642" s="28"/>
    </row>
    <row r="643" spans="9:9" ht="15.75" customHeight="1">
      <c r="I643" s="28"/>
    </row>
    <row r="644" spans="9:9" ht="15.75" customHeight="1">
      <c r="I644" s="28"/>
    </row>
    <row r="645" spans="9:9" ht="15.75" customHeight="1">
      <c r="I645" s="28"/>
    </row>
    <row r="646" spans="9:9" ht="15.75" customHeight="1">
      <c r="I646" s="28"/>
    </row>
    <row r="647" spans="9:9" ht="15.75" customHeight="1">
      <c r="I647" s="28"/>
    </row>
    <row r="648" spans="9:9" ht="15.75" customHeight="1">
      <c r="I648" s="28"/>
    </row>
    <row r="649" spans="9:9" ht="15.75" customHeight="1">
      <c r="I649" s="28"/>
    </row>
    <row r="650" spans="9:9" ht="15.75" customHeight="1">
      <c r="I650" s="28"/>
    </row>
    <row r="651" spans="9:9" ht="15.75" customHeight="1">
      <c r="I651" s="28"/>
    </row>
    <row r="652" spans="9:9" ht="15.75" customHeight="1">
      <c r="I652" s="28"/>
    </row>
    <row r="653" spans="9:9" ht="15.75" customHeight="1">
      <c r="I653" s="28"/>
    </row>
    <row r="654" spans="9:9" ht="15.75" customHeight="1">
      <c r="I654" s="28"/>
    </row>
    <row r="655" spans="9:9" ht="15.75" customHeight="1">
      <c r="I655" s="28"/>
    </row>
    <row r="656" spans="9:9" ht="15.75" customHeight="1">
      <c r="I656" s="28"/>
    </row>
    <row r="657" spans="9:9" ht="15.75" customHeight="1">
      <c r="I657" s="28"/>
    </row>
    <row r="658" spans="9:9" ht="15.75" customHeight="1">
      <c r="I658" s="28"/>
    </row>
    <row r="659" spans="9:9" ht="15.75" customHeight="1">
      <c r="I659" s="28"/>
    </row>
    <row r="660" spans="9:9" ht="15.75" customHeight="1">
      <c r="I660" s="28"/>
    </row>
    <row r="661" spans="9:9" ht="15.75" customHeight="1">
      <c r="I661" s="28"/>
    </row>
    <row r="662" spans="9:9" ht="15.75" customHeight="1">
      <c r="I662" s="28"/>
    </row>
    <row r="663" spans="9:9" ht="15.75" customHeight="1">
      <c r="I663" s="28"/>
    </row>
    <row r="664" spans="9:9" ht="15.75" customHeight="1">
      <c r="I664" s="28"/>
    </row>
    <row r="665" spans="9:9" ht="15.75" customHeight="1">
      <c r="I665" s="28"/>
    </row>
    <row r="666" spans="9:9" ht="15.75" customHeight="1">
      <c r="I666" s="28"/>
    </row>
    <row r="667" spans="9:9" ht="15.75" customHeight="1">
      <c r="I667" s="28"/>
    </row>
    <row r="668" spans="9:9" ht="15.75" customHeight="1">
      <c r="I668" s="28"/>
    </row>
    <row r="669" spans="9:9" ht="15.75" customHeight="1">
      <c r="I669" s="28"/>
    </row>
    <row r="670" spans="9:9" ht="15.75" customHeight="1">
      <c r="I670" s="28"/>
    </row>
    <row r="671" spans="9:9" ht="15.75" customHeight="1">
      <c r="I671" s="28"/>
    </row>
    <row r="672" spans="9:9" ht="15.75" customHeight="1">
      <c r="I672" s="28"/>
    </row>
    <row r="673" spans="9:9" ht="15.75" customHeight="1">
      <c r="I673" s="28"/>
    </row>
    <row r="674" spans="9:9" ht="15.75" customHeight="1">
      <c r="I674" s="28"/>
    </row>
    <row r="675" spans="9:9" ht="15.75" customHeight="1">
      <c r="I675" s="28"/>
    </row>
    <row r="676" spans="9:9" ht="15.75" customHeight="1">
      <c r="I676" s="28"/>
    </row>
    <row r="677" spans="9:9" ht="15.75" customHeight="1">
      <c r="I677" s="28"/>
    </row>
    <row r="678" spans="9:9" ht="15.75" customHeight="1">
      <c r="I678" s="28"/>
    </row>
    <row r="679" spans="9:9" ht="15.75" customHeight="1">
      <c r="I679" s="28"/>
    </row>
    <row r="680" spans="9:9" ht="15.75" customHeight="1">
      <c r="I680" s="28"/>
    </row>
    <row r="681" spans="9:9" ht="15.75" customHeight="1">
      <c r="I681" s="28"/>
    </row>
    <row r="682" spans="9:9" ht="15.75" customHeight="1">
      <c r="I682" s="28"/>
    </row>
    <row r="683" spans="9:9" ht="15.75" customHeight="1">
      <c r="I683" s="28"/>
    </row>
    <row r="684" spans="9:9" ht="15.75" customHeight="1">
      <c r="I684" s="28"/>
    </row>
    <row r="685" spans="9:9" ht="15.75" customHeight="1">
      <c r="I685" s="28"/>
    </row>
    <row r="686" spans="9:9" ht="15.75" customHeight="1">
      <c r="I686" s="28"/>
    </row>
    <row r="687" spans="9:9" ht="15.75" customHeight="1">
      <c r="I687" s="28"/>
    </row>
    <row r="688" spans="9:9" ht="15.75" customHeight="1">
      <c r="I688" s="28"/>
    </row>
    <row r="689" spans="9:9" ht="15.75" customHeight="1">
      <c r="I689" s="28"/>
    </row>
    <row r="690" spans="9:9" ht="15.75" customHeight="1">
      <c r="I690" s="28"/>
    </row>
    <row r="691" spans="9:9" ht="15.75" customHeight="1">
      <c r="I691" s="28"/>
    </row>
    <row r="692" spans="9:9" ht="15.75" customHeight="1">
      <c r="I692" s="28"/>
    </row>
    <row r="693" spans="9:9" ht="15.75" customHeight="1">
      <c r="I693" s="28"/>
    </row>
    <row r="694" spans="9:9" ht="15.75" customHeight="1">
      <c r="I694" s="28"/>
    </row>
    <row r="695" spans="9:9" ht="15.75" customHeight="1">
      <c r="I695" s="28"/>
    </row>
    <row r="696" spans="9:9" ht="15.75" customHeight="1">
      <c r="I696" s="28"/>
    </row>
    <row r="697" spans="9:9" ht="15.75" customHeight="1">
      <c r="I697" s="28"/>
    </row>
    <row r="698" spans="9:9" ht="15.75" customHeight="1">
      <c r="I698" s="28"/>
    </row>
    <row r="699" spans="9:9" ht="15.75" customHeight="1">
      <c r="I699" s="28"/>
    </row>
    <row r="700" spans="9:9" ht="15.75" customHeight="1">
      <c r="I700" s="28"/>
    </row>
    <row r="701" spans="9:9" ht="15.75" customHeight="1">
      <c r="I701" s="28"/>
    </row>
    <row r="702" spans="9:9" ht="15.75" customHeight="1">
      <c r="I702" s="28"/>
    </row>
    <row r="703" spans="9:9" ht="15.75" customHeight="1">
      <c r="I703" s="28"/>
    </row>
    <row r="704" spans="9:9" ht="15.75" customHeight="1">
      <c r="I704" s="28"/>
    </row>
    <row r="705" spans="9:9" ht="15.75" customHeight="1">
      <c r="I705" s="28"/>
    </row>
    <row r="706" spans="9:9" ht="15.75" customHeight="1">
      <c r="I706" s="28"/>
    </row>
    <row r="707" spans="9:9" ht="15.75" customHeight="1">
      <c r="I707" s="28"/>
    </row>
    <row r="708" spans="9:9" ht="15.75" customHeight="1">
      <c r="I708" s="28"/>
    </row>
    <row r="709" spans="9:9" ht="15.75" customHeight="1">
      <c r="I709" s="28"/>
    </row>
    <row r="710" spans="9:9" ht="15.75" customHeight="1">
      <c r="I710" s="28"/>
    </row>
    <row r="711" spans="9:9" ht="15.75" customHeight="1">
      <c r="I711" s="28"/>
    </row>
    <row r="712" spans="9:9" ht="15.75" customHeight="1">
      <c r="I712" s="28"/>
    </row>
    <row r="713" spans="9:9" ht="15.75" customHeight="1">
      <c r="I713" s="28"/>
    </row>
    <row r="714" spans="9:9" ht="15.75" customHeight="1">
      <c r="I714" s="28"/>
    </row>
    <row r="715" spans="9:9" ht="15.75" customHeight="1">
      <c r="I715" s="28"/>
    </row>
    <row r="716" spans="9:9" ht="15.75" customHeight="1">
      <c r="I716" s="28"/>
    </row>
    <row r="717" spans="9:9" ht="15.75" customHeight="1">
      <c r="I717" s="28"/>
    </row>
    <row r="718" spans="9:9" ht="15.75" customHeight="1">
      <c r="I718" s="28"/>
    </row>
    <row r="719" spans="9:9" ht="15.75" customHeight="1">
      <c r="I719" s="28"/>
    </row>
    <row r="720" spans="9:9" ht="15.75" customHeight="1">
      <c r="I720" s="28"/>
    </row>
    <row r="721" spans="9:9" ht="15.75" customHeight="1">
      <c r="I721" s="28"/>
    </row>
    <row r="722" spans="9:9" ht="15.75" customHeight="1">
      <c r="I722" s="28"/>
    </row>
    <row r="723" spans="9:9" ht="15.75" customHeight="1">
      <c r="I723" s="28"/>
    </row>
    <row r="724" spans="9:9" ht="15.75" customHeight="1">
      <c r="I724" s="28"/>
    </row>
    <row r="725" spans="9:9" ht="15.75" customHeight="1">
      <c r="I725" s="28"/>
    </row>
    <row r="726" spans="9:9" ht="15.75" customHeight="1">
      <c r="I726" s="28"/>
    </row>
    <row r="727" spans="9:9" ht="15.75" customHeight="1">
      <c r="I727" s="28"/>
    </row>
    <row r="728" spans="9:9" ht="15.75" customHeight="1">
      <c r="I728" s="28"/>
    </row>
    <row r="729" spans="9:9" ht="15.75" customHeight="1">
      <c r="I729" s="28"/>
    </row>
    <row r="730" spans="9:9" ht="15.75" customHeight="1">
      <c r="I730" s="28"/>
    </row>
    <row r="731" spans="9:9" ht="15.75" customHeight="1">
      <c r="I731" s="28"/>
    </row>
    <row r="732" spans="9:9" ht="15.75" customHeight="1">
      <c r="I732" s="28"/>
    </row>
    <row r="733" spans="9:9" ht="15.75" customHeight="1">
      <c r="I733" s="28"/>
    </row>
    <row r="734" spans="9:9" ht="15.75" customHeight="1">
      <c r="I734" s="28"/>
    </row>
    <row r="735" spans="9:9" ht="15.75" customHeight="1">
      <c r="I735" s="28"/>
    </row>
    <row r="736" spans="9:9" ht="15.75" customHeight="1">
      <c r="I736" s="28"/>
    </row>
    <row r="737" spans="9:9" ht="15.75" customHeight="1">
      <c r="I737" s="28"/>
    </row>
    <row r="738" spans="9:9" ht="15.75" customHeight="1">
      <c r="I738" s="28"/>
    </row>
    <row r="739" spans="9:9" ht="15.75" customHeight="1">
      <c r="I739" s="28"/>
    </row>
    <row r="740" spans="9:9" ht="15.75" customHeight="1">
      <c r="I740" s="28"/>
    </row>
    <row r="741" spans="9:9" ht="15.75" customHeight="1">
      <c r="I741" s="28"/>
    </row>
    <row r="742" spans="9:9" ht="15.75" customHeight="1">
      <c r="I742" s="28"/>
    </row>
    <row r="743" spans="9:9" ht="15.75" customHeight="1">
      <c r="I743" s="28"/>
    </row>
    <row r="744" spans="9:9" ht="15.75" customHeight="1">
      <c r="I744" s="28"/>
    </row>
    <row r="745" spans="9:9" ht="15.75" customHeight="1">
      <c r="I745" s="28"/>
    </row>
    <row r="746" spans="9:9" ht="15.75" customHeight="1">
      <c r="I746" s="28"/>
    </row>
    <row r="747" spans="9:9" ht="15.75" customHeight="1">
      <c r="I747" s="28"/>
    </row>
    <row r="748" spans="9:9" ht="15.75" customHeight="1">
      <c r="I748" s="28"/>
    </row>
    <row r="749" spans="9:9" ht="15.75" customHeight="1">
      <c r="I749" s="28"/>
    </row>
    <row r="750" spans="9:9" ht="15.75" customHeight="1">
      <c r="I750" s="28"/>
    </row>
    <row r="751" spans="9:9" ht="15.75" customHeight="1">
      <c r="I751" s="28"/>
    </row>
    <row r="752" spans="9:9" ht="15.75" customHeight="1">
      <c r="I752" s="28"/>
    </row>
    <row r="753" spans="9:9" ht="15.75" customHeight="1">
      <c r="I753" s="28"/>
    </row>
    <row r="754" spans="9:9" ht="15.75" customHeight="1">
      <c r="I754" s="28"/>
    </row>
    <row r="755" spans="9:9" ht="15.75" customHeight="1">
      <c r="I755" s="28"/>
    </row>
    <row r="756" spans="9:9" ht="15.75" customHeight="1">
      <c r="I756" s="28"/>
    </row>
    <row r="757" spans="9:9" ht="15.75" customHeight="1">
      <c r="I757" s="28"/>
    </row>
    <row r="758" spans="9:9" ht="15.75" customHeight="1">
      <c r="I758" s="28"/>
    </row>
    <row r="759" spans="9:9" ht="15.75" customHeight="1">
      <c r="I759" s="28"/>
    </row>
    <row r="760" spans="9:9" ht="15.75" customHeight="1">
      <c r="I760" s="28"/>
    </row>
    <row r="761" spans="9:9" ht="15.75" customHeight="1">
      <c r="I761" s="28"/>
    </row>
    <row r="762" spans="9:9" ht="15.75" customHeight="1">
      <c r="I762" s="28"/>
    </row>
    <row r="763" spans="9:9" ht="15.75" customHeight="1">
      <c r="I763" s="28"/>
    </row>
    <row r="764" spans="9:9" ht="15.75" customHeight="1">
      <c r="I764" s="28"/>
    </row>
    <row r="765" spans="9:9" ht="15.75" customHeight="1">
      <c r="I765" s="28"/>
    </row>
    <row r="766" spans="9:9" ht="15.75" customHeight="1">
      <c r="I766" s="28"/>
    </row>
    <row r="767" spans="9:9" ht="15.75" customHeight="1">
      <c r="I767" s="28"/>
    </row>
    <row r="768" spans="9:9" ht="15.75" customHeight="1">
      <c r="I768" s="28"/>
    </row>
    <row r="769" spans="9:9" ht="15.75" customHeight="1">
      <c r="I769" s="28"/>
    </row>
    <row r="770" spans="9:9" ht="15.75" customHeight="1">
      <c r="I770" s="28"/>
    </row>
    <row r="771" spans="9:9" ht="15.75" customHeight="1">
      <c r="I771" s="28"/>
    </row>
    <row r="772" spans="9:9" ht="15.75" customHeight="1">
      <c r="I772" s="28"/>
    </row>
    <row r="773" spans="9:9" ht="15.75" customHeight="1">
      <c r="I773" s="28"/>
    </row>
    <row r="774" spans="9:9" ht="15.75" customHeight="1">
      <c r="I774" s="28"/>
    </row>
    <row r="775" spans="9:9" ht="15.75" customHeight="1">
      <c r="I775" s="28"/>
    </row>
    <row r="776" spans="9:9" ht="15.75" customHeight="1">
      <c r="I776" s="28"/>
    </row>
    <row r="777" spans="9:9" ht="15.75" customHeight="1">
      <c r="I777" s="28"/>
    </row>
    <row r="778" spans="9:9" ht="15.75" customHeight="1">
      <c r="I778" s="28"/>
    </row>
    <row r="779" spans="9:9" ht="15.75" customHeight="1">
      <c r="I779" s="28"/>
    </row>
    <row r="780" spans="9:9" ht="15.75" customHeight="1">
      <c r="I780" s="28"/>
    </row>
    <row r="781" spans="9:9" ht="15.75" customHeight="1">
      <c r="I781" s="28"/>
    </row>
    <row r="782" spans="9:9" ht="15.75" customHeight="1">
      <c r="I782" s="28"/>
    </row>
    <row r="783" spans="9:9" ht="15.75" customHeight="1">
      <c r="I783" s="28"/>
    </row>
    <row r="784" spans="9:9" ht="15.75" customHeight="1">
      <c r="I784" s="28"/>
    </row>
    <row r="785" spans="9:9" ht="15.75" customHeight="1">
      <c r="I785" s="28"/>
    </row>
    <row r="786" spans="9:9" ht="15.75" customHeight="1">
      <c r="I786" s="28"/>
    </row>
    <row r="787" spans="9:9" ht="15.75" customHeight="1">
      <c r="I787" s="28"/>
    </row>
    <row r="788" spans="9:9" ht="15.75" customHeight="1">
      <c r="I788" s="28"/>
    </row>
    <row r="789" spans="9:9" ht="15.75" customHeight="1">
      <c r="I789" s="28"/>
    </row>
    <row r="790" spans="9:9" ht="15.75" customHeight="1">
      <c r="I790" s="28"/>
    </row>
    <row r="791" spans="9:9" ht="15.75" customHeight="1">
      <c r="I791" s="28"/>
    </row>
    <row r="792" spans="9:9" ht="15.75" customHeight="1">
      <c r="I792" s="28"/>
    </row>
    <row r="793" spans="9:9" ht="15.75" customHeight="1">
      <c r="I793" s="28"/>
    </row>
    <row r="794" spans="9:9" ht="15.75" customHeight="1">
      <c r="I794" s="28"/>
    </row>
    <row r="795" spans="9:9" ht="15.75" customHeight="1">
      <c r="I795" s="28"/>
    </row>
    <row r="796" spans="9:9" ht="15.75" customHeight="1">
      <c r="I796" s="28"/>
    </row>
    <row r="797" spans="9:9" ht="15.75" customHeight="1">
      <c r="I797" s="28"/>
    </row>
    <row r="798" spans="9:9" ht="15.75" customHeight="1">
      <c r="I798" s="28"/>
    </row>
    <row r="799" spans="9:9" ht="15.75" customHeight="1">
      <c r="I799" s="28"/>
    </row>
    <row r="800" spans="9:9" ht="15.75" customHeight="1">
      <c r="I800" s="28"/>
    </row>
    <row r="801" spans="9:9" ht="15.75" customHeight="1">
      <c r="I801" s="28"/>
    </row>
    <row r="802" spans="9:9" ht="15.75" customHeight="1">
      <c r="I802" s="28"/>
    </row>
    <row r="803" spans="9:9" ht="15.75" customHeight="1">
      <c r="I803" s="28"/>
    </row>
    <row r="804" spans="9:9" ht="15.75" customHeight="1">
      <c r="I804" s="28"/>
    </row>
    <row r="805" spans="9:9" ht="15.75" customHeight="1">
      <c r="I805" s="28"/>
    </row>
    <row r="806" spans="9:9" ht="15.75" customHeight="1">
      <c r="I806" s="28"/>
    </row>
    <row r="807" spans="9:9" ht="15.75" customHeight="1">
      <c r="I807" s="28"/>
    </row>
    <row r="808" spans="9:9" ht="15.75" customHeight="1">
      <c r="I808" s="28"/>
    </row>
    <row r="809" spans="9:9" ht="15.75" customHeight="1">
      <c r="I809" s="28"/>
    </row>
    <row r="810" spans="9:9" ht="15.75" customHeight="1">
      <c r="I810" s="28"/>
    </row>
    <row r="811" spans="9:9" ht="15.75" customHeight="1">
      <c r="I811" s="28"/>
    </row>
    <row r="812" spans="9:9" ht="15.75" customHeight="1">
      <c r="I812" s="28"/>
    </row>
    <row r="813" spans="9:9" ht="15.75" customHeight="1">
      <c r="I813" s="28"/>
    </row>
    <row r="814" spans="9:9" ht="15.75" customHeight="1">
      <c r="I814" s="28"/>
    </row>
    <row r="815" spans="9:9" ht="15.75" customHeight="1">
      <c r="I815" s="28"/>
    </row>
    <row r="816" spans="9:9" ht="15.75" customHeight="1">
      <c r="I816" s="28"/>
    </row>
    <row r="817" spans="9:9" ht="15.75" customHeight="1">
      <c r="I817" s="28"/>
    </row>
    <row r="818" spans="9:9" ht="15.75" customHeight="1">
      <c r="I818" s="28"/>
    </row>
    <row r="819" spans="9:9" ht="15.75" customHeight="1">
      <c r="I819" s="28"/>
    </row>
    <row r="820" spans="9:9" ht="15.75" customHeight="1">
      <c r="I820" s="28"/>
    </row>
    <row r="821" spans="9:9" ht="15.75" customHeight="1">
      <c r="I821" s="28"/>
    </row>
    <row r="822" spans="9:9" ht="15.75" customHeight="1">
      <c r="I822" s="28"/>
    </row>
    <row r="823" spans="9:9" ht="15.75" customHeight="1">
      <c r="I823" s="28"/>
    </row>
    <row r="824" spans="9:9" ht="15.75" customHeight="1">
      <c r="I824" s="28"/>
    </row>
    <row r="825" spans="9:9" ht="15.75" customHeight="1">
      <c r="I825" s="28"/>
    </row>
    <row r="826" spans="9:9" ht="15.75" customHeight="1">
      <c r="I826" s="28"/>
    </row>
    <row r="827" spans="9:9" ht="15.75" customHeight="1">
      <c r="I827" s="28"/>
    </row>
    <row r="828" spans="9:9" ht="15.75" customHeight="1">
      <c r="I828" s="28"/>
    </row>
    <row r="829" spans="9:9" ht="15.75" customHeight="1">
      <c r="I829" s="28"/>
    </row>
    <row r="830" spans="9:9" ht="15.75" customHeight="1">
      <c r="I830" s="28"/>
    </row>
    <row r="831" spans="9:9" ht="15.75" customHeight="1">
      <c r="I831" s="28"/>
    </row>
    <row r="832" spans="9:9" ht="15.75" customHeight="1">
      <c r="I832" s="28"/>
    </row>
    <row r="833" spans="9:9" ht="15.75" customHeight="1">
      <c r="I833" s="28"/>
    </row>
    <row r="834" spans="9:9" ht="15.75" customHeight="1">
      <c r="I834" s="28"/>
    </row>
    <row r="835" spans="9:9" ht="15.75" customHeight="1">
      <c r="I835" s="28"/>
    </row>
    <row r="836" spans="9:9" ht="15.75" customHeight="1">
      <c r="I836" s="28"/>
    </row>
    <row r="837" spans="9:9" ht="15.75" customHeight="1">
      <c r="I837" s="28"/>
    </row>
    <row r="838" spans="9:9" ht="15.75" customHeight="1">
      <c r="I838" s="28"/>
    </row>
    <row r="839" spans="9:9" ht="15.75" customHeight="1">
      <c r="I839" s="28"/>
    </row>
    <row r="840" spans="9:9" ht="15.75" customHeight="1">
      <c r="I840" s="28"/>
    </row>
    <row r="841" spans="9:9" ht="15.75" customHeight="1">
      <c r="I841" s="28"/>
    </row>
    <row r="842" spans="9:9" ht="15.75" customHeight="1">
      <c r="I842" s="28"/>
    </row>
    <row r="843" spans="9:9" ht="15.75" customHeight="1">
      <c r="I843" s="28"/>
    </row>
    <row r="844" spans="9:9" ht="15.75" customHeight="1">
      <c r="I844" s="28"/>
    </row>
    <row r="845" spans="9:9" ht="15.75" customHeight="1">
      <c r="I845" s="28"/>
    </row>
    <row r="846" spans="9:9" ht="15.75" customHeight="1">
      <c r="I846" s="28"/>
    </row>
    <row r="847" spans="9:9" ht="15.75" customHeight="1">
      <c r="I847" s="28"/>
    </row>
    <row r="848" spans="9:9" ht="15.75" customHeight="1">
      <c r="I848" s="28"/>
    </row>
    <row r="849" spans="9:9" ht="15.75" customHeight="1">
      <c r="I849" s="28"/>
    </row>
    <row r="850" spans="9:9" ht="15.75" customHeight="1">
      <c r="I850" s="28"/>
    </row>
    <row r="851" spans="9:9" ht="15.75" customHeight="1">
      <c r="I851" s="28"/>
    </row>
    <row r="852" spans="9:9" ht="15.75" customHeight="1">
      <c r="I852" s="28"/>
    </row>
    <row r="853" spans="9:9" ht="15.75" customHeight="1">
      <c r="I853" s="28"/>
    </row>
    <row r="854" spans="9:9" ht="15.75" customHeight="1">
      <c r="I854" s="28"/>
    </row>
    <row r="855" spans="9:9" ht="15.75" customHeight="1">
      <c r="I855" s="28"/>
    </row>
    <row r="856" spans="9:9" ht="15.75" customHeight="1">
      <c r="I856" s="28"/>
    </row>
    <row r="857" spans="9:9" ht="15.75" customHeight="1">
      <c r="I857" s="28"/>
    </row>
    <row r="858" spans="9:9" ht="15.75" customHeight="1">
      <c r="I858" s="28"/>
    </row>
    <row r="859" spans="9:9" ht="15.75" customHeight="1">
      <c r="I859" s="28"/>
    </row>
    <row r="860" spans="9:9" ht="15.75" customHeight="1">
      <c r="I860" s="28"/>
    </row>
    <row r="861" spans="9:9" ht="15.75" customHeight="1">
      <c r="I861" s="28"/>
    </row>
    <row r="862" spans="9:9" ht="15.75" customHeight="1">
      <c r="I862" s="28"/>
    </row>
    <row r="863" spans="9:9" ht="15.75" customHeight="1">
      <c r="I863" s="28"/>
    </row>
    <row r="864" spans="9:9" ht="15.75" customHeight="1">
      <c r="I864" s="28"/>
    </row>
    <row r="865" spans="9:9" ht="15.75" customHeight="1">
      <c r="I865" s="28"/>
    </row>
    <row r="866" spans="9:9" ht="15.75" customHeight="1">
      <c r="I866" s="28"/>
    </row>
    <row r="867" spans="9:9" ht="15.75" customHeight="1">
      <c r="I867" s="28"/>
    </row>
    <row r="868" spans="9:9" ht="15.75" customHeight="1">
      <c r="I868" s="28"/>
    </row>
    <row r="869" spans="9:9" ht="15.75" customHeight="1">
      <c r="I869" s="28"/>
    </row>
    <row r="870" spans="9:9" ht="15.75" customHeight="1">
      <c r="I870" s="28"/>
    </row>
    <row r="871" spans="9:9" ht="15.75" customHeight="1">
      <c r="I871" s="28"/>
    </row>
    <row r="872" spans="9:9" ht="15.75" customHeight="1">
      <c r="I872" s="28"/>
    </row>
    <row r="873" spans="9:9" ht="15.75" customHeight="1">
      <c r="I873" s="28"/>
    </row>
    <row r="874" spans="9:9" ht="15.75" customHeight="1">
      <c r="I874" s="28"/>
    </row>
    <row r="875" spans="9:9" ht="15.75" customHeight="1">
      <c r="I875" s="28"/>
    </row>
    <row r="876" spans="9:9" ht="15.75" customHeight="1">
      <c r="I876" s="28"/>
    </row>
    <row r="877" spans="9:9" ht="15.75" customHeight="1">
      <c r="I877" s="28"/>
    </row>
    <row r="878" spans="9:9" ht="15.75" customHeight="1">
      <c r="I878" s="28"/>
    </row>
    <row r="879" spans="9:9" ht="15.75" customHeight="1">
      <c r="I879" s="28"/>
    </row>
    <row r="880" spans="9:9" ht="15.75" customHeight="1">
      <c r="I880" s="28"/>
    </row>
    <row r="881" spans="9:9" ht="15.75" customHeight="1">
      <c r="I881" s="28"/>
    </row>
    <row r="882" spans="9:9" ht="15.75" customHeight="1">
      <c r="I882" s="28"/>
    </row>
    <row r="883" spans="9:9" ht="15.75" customHeight="1">
      <c r="I883" s="28"/>
    </row>
    <row r="884" spans="9:9" ht="15.75" customHeight="1">
      <c r="I884" s="28"/>
    </row>
    <row r="885" spans="9:9" ht="15.75" customHeight="1">
      <c r="I885" s="28"/>
    </row>
    <row r="886" spans="9:9" ht="15.75" customHeight="1">
      <c r="I886" s="28"/>
    </row>
    <row r="887" spans="9:9" ht="15.75" customHeight="1">
      <c r="I887" s="28"/>
    </row>
    <row r="888" spans="9:9" ht="15.75" customHeight="1">
      <c r="I888" s="28"/>
    </row>
    <row r="889" spans="9:9" ht="15.75" customHeight="1">
      <c r="I889" s="28"/>
    </row>
    <row r="890" spans="9:9" ht="15.75" customHeight="1">
      <c r="I890" s="28"/>
    </row>
    <row r="891" spans="9:9" ht="15.75" customHeight="1">
      <c r="I891" s="28"/>
    </row>
    <row r="892" spans="9:9" ht="15.75" customHeight="1">
      <c r="I892" s="28"/>
    </row>
    <row r="893" spans="9:9" ht="15.75" customHeight="1">
      <c r="I893" s="28"/>
    </row>
    <row r="894" spans="9:9" ht="15.75" customHeight="1">
      <c r="I894" s="28"/>
    </row>
    <row r="895" spans="9:9" ht="15.75" customHeight="1">
      <c r="I895" s="28"/>
    </row>
    <row r="896" spans="9:9" ht="15.75" customHeight="1">
      <c r="I896" s="28"/>
    </row>
    <row r="897" spans="9:9" ht="15.75" customHeight="1">
      <c r="I897" s="28"/>
    </row>
    <row r="898" spans="9:9" ht="15.75" customHeight="1">
      <c r="I898" s="28"/>
    </row>
    <row r="899" spans="9:9" ht="15.75" customHeight="1">
      <c r="I899" s="28"/>
    </row>
    <row r="900" spans="9:9" ht="15.75" customHeight="1">
      <c r="I900" s="28"/>
    </row>
    <row r="901" spans="9:9" ht="15.75" customHeight="1">
      <c r="I901" s="28"/>
    </row>
    <row r="902" spans="9:9" ht="15.75" customHeight="1">
      <c r="I902" s="28"/>
    </row>
    <row r="903" spans="9:9" ht="15.75" customHeight="1">
      <c r="I903" s="28"/>
    </row>
    <row r="904" spans="9:9" ht="15.75" customHeight="1">
      <c r="I904" s="28"/>
    </row>
    <row r="905" spans="9:9" ht="15.75" customHeight="1">
      <c r="I905" s="28"/>
    </row>
    <row r="906" spans="9:9" ht="15.75" customHeight="1">
      <c r="I906" s="28"/>
    </row>
    <row r="907" spans="9:9" ht="15.75" customHeight="1">
      <c r="I907" s="28"/>
    </row>
    <row r="908" spans="9:9" ht="15.75" customHeight="1">
      <c r="I908" s="28"/>
    </row>
    <row r="909" spans="9:9" ht="15.75" customHeight="1">
      <c r="I909" s="28"/>
    </row>
    <row r="910" spans="9:9" ht="15.75" customHeight="1">
      <c r="I910" s="28"/>
    </row>
    <row r="911" spans="9:9" ht="15.75" customHeight="1">
      <c r="I911" s="28"/>
    </row>
    <row r="912" spans="9:9" ht="15.75" customHeight="1">
      <c r="I912" s="28"/>
    </row>
    <row r="913" spans="9:9" ht="15.75" customHeight="1">
      <c r="I913" s="28"/>
    </row>
    <row r="914" spans="9:9" ht="15.75" customHeight="1">
      <c r="I914" s="28"/>
    </row>
    <row r="915" spans="9:9" ht="15.75" customHeight="1">
      <c r="I915" s="28"/>
    </row>
    <row r="916" spans="9:9" ht="15.75" customHeight="1">
      <c r="I916" s="28"/>
    </row>
    <row r="917" spans="9:9" ht="15.75" customHeight="1">
      <c r="I917" s="28"/>
    </row>
    <row r="918" spans="9:9" ht="15.75" customHeight="1">
      <c r="I918" s="28"/>
    </row>
    <row r="919" spans="9:9" ht="15.75" customHeight="1">
      <c r="I919" s="28"/>
    </row>
    <row r="920" spans="9:9" ht="15.75" customHeight="1">
      <c r="I920" s="28"/>
    </row>
    <row r="921" spans="9:9" ht="15.75" customHeight="1">
      <c r="I921" s="28"/>
    </row>
    <row r="922" spans="9:9" ht="15.75" customHeight="1">
      <c r="I922" s="28"/>
    </row>
    <row r="923" spans="9:9" ht="15.75" customHeight="1">
      <c r="I923" s="28"/>
    </row>
    <row r="924" spans="9:9" ht="15.75" customHeight="1">
      <c r="I924" s="28"/>
    </row>
    <row r="925" spans="9:9" ht="15.75" customHeight="1">
      <c r="I925" s="28"/>
    </row>
    <row r="926" spans="9:9" ht="15.75" customHeight="1">
      <c r="I926" s="28"/>
    </row>
    <row r="927" spans="9:9" ht="15.75" customHeight="1">
      <c r="I927" s="28"/>
    </row>
    <row r="928" spans="9:9" ht="15.75" customHeight="1">
      <c r="I928" s="28"/>
    </row>
    <row r="929" spans="9:9" ht="15.75" customHeight="1">
      <c r="I929" s="28"/>
    </row>
    <row r="930" spans="9:9" ht="15.75" customHeight="1">
      <c r="I930" s="28"/>
    </row>
    <row r="931" spans="9:9" ht="15.75" customHeight="1">
      <c r="I931" s="28"/>
    </row>
    <row r="932" spans="9:9" ht="15.75" customHeight="1">
      <c r="I932" s="28"/>
    </row>
    <row r="933" spans="9:9" ht="15.75" customHeight="1">
      <c r="I933" s="28"/>
    </row>
    <row r="934" spans="9:9" ht="15.75" customHeight="1">
      <c r="I934" s="28"/>
    </row>
    <row r="935" spans="9:9" ht="15.75" customHeight="1">
      <c r="I935" s="28"/>
    </row>
    <row r="936" spans="9:9" ht="15.75" customHeight="1">
      <c r="I936" s="28"/>
    </row>
    <row r="937" spans="9:9" ht="15.75" customHeight="1">
      <c r="I937" s="28"/>
    </row>
    <row r="938" spans="9:9" ht="15.75" customHeight="1">
      <c r="I938" s="28"/>
    </row>
    <row r="939" spans="9:9" ht="15.75" customHeight="1">
      <c r="I939" s="28"/>
    </row>
    <row r="940" spans="9:9" ht="15.75" customHeight="1">
      <c r="I940" s="28"/>
    </row>
    <row r="941" spans="9:9" ht="15.75" customHeight="1">
      <c r="I941" s="28"/>
    </row>
    <row r="942" spans="9:9" ht="15.75" customHeight="1">
      <c r="I942" s="28"/>
    </row>
    <row r="943" spans="9:9" ht="15.75" customHeight="1">
      <c r="I943" s="28"/>
    </row>
    <row r="944" spans="9:9" ht="15.75" customHeight="1">
      <c r="I944" s="28"/>
    </row>
    <row r="945" spans="9:9" ht="15.75" customHeight="1">
      <c r="I945" s="28"/>
    </row>
    <row r="946" spans="9:9" ht="15.75" customHeight="1">
      <c r="I946" s="28"/>
    </row>
    <row r="947" spans="9:9" ht="15.75" customHeight="1">
      <c r="I947" s="28"/>
    </row>
    <row r="948" spans="9:9" ht="15.75" customHeight="1">
      <c r="I948" s="28"/>
    </row>
    <row r="949" spans="9:9" ht="15.75" customHeight="1">
      <c r="I949" s="28"/>
    </row>
    <row r="950" spans="9:9" ht="15.75" customHeight="1">
      <c r="I950" s="28"/>
    </row>
    <row r="951" spans="9:9" ht="15.75" customHeight="1">
      <c r="I951" s="28"/>
    </row>
    <row r="952" spans="9:9" ht="15.75" customHeight="1">
      <c r="I952" s="28"/>
    </row>
    <row r="953" spans="9:9" ht="15.75" customHeight="1">
      <c r="I953" s="28"/>
    </row>
    <row r="954" spans="9:9" ht="15.75" customHeight="1">
      <c r="I954" s="28"/>
    </row>
    <row r="955" spans="9:9" ht="15.75" customHeight="1">
      <c r="I955" s="28"/>
    </row>
    <row r="956" spans="9:9" ht="15.75" customHeight="1">
      <c r="I956" s="28"/>
    </row>
    <row r="957" spans="9:9" ht="15.75" customHeight="1">
      <c r="I957" s="28"/>
    </row>
    <row r="958" spans="9:9" ht="15.75" customHeight="1">
      <c r="I958" s="28"/>
    </row>
    <row r="959" spans="9:9" ht="15.75" customHeight="1">
      <c r="I959" s="28"/>
    </row>
    <row r="960" spans="9:9" ht="15.75" customHeight="1">
      <c r="I960" s="28"/>
    </row>
    <row r="961" spans="9:9" ht="15.75" customHeight="1">
      <c r="I961" s="28"/>
    </row>
    <row r="962" spans="9:9" ht="15.75" customHeight="1">
      <c r="I962" s="28"/>
    </row>
    <row r="963" spans="9:9" ht="15.75" customHeight="1">
      <c r="I963" s="28"/>
    </row>
    <row r="964" spans="9:9" ht="15.75" customHeight="1">
      <c r="I964" s="28"/>
    </row>
    <row r="965" spans="9:9" ht="15.75" customHeight="1">
      <c r="I965" s="28"/>
    </row>
    <row r="966" spans="9:9" ht="15.75" customHeight="1">
      <c r="I966" s="28"/>
    </row>
    <row r="967" spans="9:9" ht="15.75" customHeight="1">
      <c r="I967" s="28"/>
    </row>
    <row r="968" spans="9:9" ht="15.75" customHeight="1">
      <c r="I968" s="28"/>
    </row>
    <row r="969" spans="9:9" ht="15.75" customHeight="1">
      <c r="I969" s="28"/>
    </row>
    <row r="970" spans="9:9" ht="15.75" customHeight="1">
      <c r="I970" s="28"/>
    </row>
    <row r="971" spans="9:9" ht="15.75" customHeight="1">
      <c r="I971" s="28"/>
    </row>
    <row r="972" spans="9:9" ht="15.75" customHeight="1">
      <c r="I972" s="28"/>
    </row>
    <row r="973" spans="9:9" ht="15.75" customHeight="1">
      <c r="I973" s="28"/>
    </row>
    <row r="974" spans="9:9" ht="15.75" customHeight="1">
      <c r="I974" s="28"/>
    </row>
    <row r="975" spans="9:9" ht="15.75" customHeight="1">
      <c r="I975" s="28"/>
    </row>
    <row r="976" spans="9:9" ht="15.75" customHeight="1">
      <c r="I976" s="28"/>
    </row>
    <row r="977" spans="9:9" ht="15.75" customHeight="1">
      <c r="I977" s="28"/>
    </row>
    <row r="978" spans="9:9" ht="15.75" customHeight="1">
      <c r="I978" s="28"/>
    </row>
    <row r="979" spans="9:9" ht="15.75" customHeight="1">
      <c r="I979" s="28"/>
    </row>
    <row r="980" spans="9:9" ht="15.75" customHeight="1">
      <c r="I980" s="28"/>
    </row>
    <row r="981" spans="9:9" ht="15.75" customHeight="1">
      <c r="I981" s="28"/>
    </row>
    <row r="982" spans="9:9" ht="15.75" customHeight="1">
      <c r="I982" s="28"/>
    </row>
    <row r="983" spans="9:9" ht="15.75" customHeight="1">
      <c r="I983" s="28"/>
    </row>
    <row r="984" spans="9:9" ht="15.75" customHeight="1">
      <c r="I984" s="28"/>
    </row>
    <row r="985" spans="9:9" ht="15.75" customHeight="1">
      <c r="I985" s="28"/>
    </row>
    <row r="986" spans="9:9" ht="15.75" customHeight="1">
      <c r="I986" s="28"/>
    </row>
    <row r="987" spans="9:9" ht="15.75" customHeight="1">
      <c r="I987" s="28"/>
    </row>
    <row r="988" spans="9:9" ht="15.75" customHeight="1">
      <c r="I988" s="28"/>
    </row>
    <row r="989" spans="9:9" ht="15.75" customHeight="1">
      <c r="I989" s="28"/>
    </row>
    <row r="990" spans="9:9" ht="15.75" customHeight="1">
      <c r="I990" s="28"/>
    </row>
    <row r="991" spans="9:9" ht="15.75" customHeight="1">
      <c r="I991" s="28"/>
    </row>
    <row r="992" spans="9:9" ht="15.75" customHeight="1">
      <c r="I992" s="28"/>
    </row>
    <row r="993" spans="9:9" ht="15.75" customHeight="1">
      <c r="I993" s="28"/>
    </row>
    <row r="994" spans="9:9" ht="15.75" customHeight="1">
      <c r="I994" s="28"/>
    </row>
    <row r="995" spans="9:9" ht="15.75" customHeight="1">
      <c r="I995" s="28"/>
    </row>
    <row r="996" spans="9:9" ht="15.75" customHeight="1">
      <c r="I996" s="28"/>
    </row>
    <row r="997" spans="9:9" ht="15.75" customHeight="1">
      <c r="I997" s="28"/>
    </row>
    <row r="998" spans="9:9" ht="15.75" customHeight="1">
      <c r="I998" s="28"/>
    </row>
    <row r="999" spans="9:9" ht="15.75" customHeight="1">
      <c r="I999" s="28"/>
    </row>
    <row r="1000" spans="9:9" ht="15.75" customHeight="1">
      <c r="I1000" s="28"/>
    </row>
    <row r="1001" spans="9:9" ht="15.75" customHeight="1">
      <c r="I1001" s="28"/>
    </row>
    <row r="1002" spans="9:9" ht="15.75" customHeight="1">
      <c r="I1002" s="28"/>
    </row>
    <row r="1003" spans="9:9" ht="15.75" customHeight="1">
      <c r="I1003" s="28"/>
    </row>
    <row r="1004" spans="9:9" ht="15.75" customHeight="1">
      <c r="I1004" s="28"/>
    </row>
    <row r="1005" spans="9:9" ht="15.75" customHeight="1">
      <c r="I1005" s="28"/>
    </row>
    <row r="1006" spans="9:9" ht="15.75" customHeight="1">
      <c r="I1006" s="28"/>
    </row>
  </sheetData>
  <dataValidations count="5">
    <dataValidation type="custom" allowBlank="1" showDropDown="1" sqref="G88:G89 H87:H89 H91 G2:G81 H2:H84">
      <formula1>OR(NOT(ISERROR(DATEVALUE(G2))), AND(ISNUMBER(G2), LEFT(CELL("format", G2))="D"))</formula1>
    </dataValidation>
    <dataValidation type="list" allowBlank="1" sqref="J2:J92">
      <formula1>"يعمل ,لا يعمل"</formula1>
    </dataValidation>
    <dataValidation type="list" allowBlank="1" sqref="C2:C92">
      <formula1>"منتجات الدواجن / اللحوم,عقارات,وقود,تجاره المواد الغذائيه,مصانع مياة,تجارة المستلزمات الزراعية,تجارة المنتجات الطبية,حسابات,أعلاف,أجهزة الكترونية,نقليات,قماش,تجارة مواد صحية,شحن"</formula1>
    </dataValidation>
    <dataValidation type="list" allowBlank="1" sqref="I2:I92">
      <formula1>"شامل,شهري,سنوي"</formula1>
    </dataValidation>
    <dataValidation type="custom" allowBlank="1" showDropDown="1" sqref="L2:R92 T2:AE92">
      <formula1>AND(ISNUMBER(L2),(NOT(OR(NOT(ISERROR(DATEVALUE(L2))), AND(ISNUMBER(L2), LEFT(CELL("format", L2))="D")))))</formula1>
    </dataValidation>
  </dataValidations>
  <hyperlinks>
    <hyperlink ref="D3" r:id="rId1"/>
    <hyperlink ref="D4" r:id="rId2"/>
    <hyperlink ref="D5" r:id="rId3"/>
    <hyperlink ref="D6" r:id="rId4"/>
    <hyperlink ref="D7" r:id="rId5"/>
    <hyperlink ref="D8" r:id="rId6"/>
    <hyperlink ref="D9" r:id="rId7"/>
    <hyperlink ref="D11" r:id="rId8"/>
    <hyperlink ref="D12" r:id="rId9"/>
    <hyperlink ref="D14" r:id="rId10"/>
    <hyperlink ref="D15" r:id="rId11"/>
    <hyperlink ref="D16" r:id="rId12"/>
    <hyperlink ref="D17" r:id="rId13"/>
    <hyperlink ref="D18" r:id="rId14"/>
    <hyperlink ref="D19" r:id="rId15"/>
    <hyperlink ref="D20" r:id="rId16"/>
    <hyperlink ref="D21" r:id="rId17"/>
    <hyperlink ref="D22" r:id="rId18"/>
    <hyperlink ref="D24" r:id="rId19"/>
    <hyperlink ref="D25" r:id="rId20"/>
    <hyperlink ref="D26" r:id="rId21"/>
    <hyperlink ref="D27" r:id="rId22"/>
    <hyperlink ref="D29" r:id="rId23"/>
    <hyperlink ref="D30" r:id="rId24"/>
    <hyperlink ref="D31" r:id="rId25"/>
    <hyperlink ref="D32" r:id="rId26"/>
    <hyperlink ref="D34" r:id="rId27"/>
    <hyperlink ref="D35" r:id="rId28"/>
    <hyperlink ref="D36" r:id="rId29"/>
    <hyperlink ref="D37" r:id="rId30"/>
    <hyperlink ref="D38" r:id="rId31"/>
    <hyperlink ref="D39" r:id="rId32"/>
    <hyperlink ref="D40" r:id="rId33"/>
    <hyperlink ref="D41" r:id="rId34"/>
    <hyperlink ref="D42" r:id="rId35"/>
    <hyperlink ref="D43" r:id="rId36"/>
    <hyperlink ref="D44" r:id="rId37"/>
    <hyperlink ref="D45" r:id="rId38"/>
    <hyperlink ref="D46" r:id="rId39"/>
    <hyperlink ref="D47" r:id="rId40"/>
    <hyperlink ref="D48" r:id="rId41"/>
    <hyperlink ref="D49" r:id="rId42"/>
    <hyperlink ref="D50" r:id="rId43"/>
    <hyperlink ref="D51" r:id="rId44"/>
    <hyperlink ref="D52" r:id="rId45"/>
    <hyperlink ref="D53" r:id="rId46"/>
    <hyperlink ref="D54" r:id="rId47"/>
    <hyperlink ref="D55" r:id="rId48"/>
    <hyperlink ref="D56" r:id="rId49"/>
    <hyperlink ref="D57" r:id="rId50"/>
    <hyperlink ref="D58" r:id="rId51"/>
    <hyperlink ref="D62" r:id="rId52"/>
    <hyperlink ref="D63" r:id="rId53"/>
    <hyperlink ref="D64" r:id="rId54"/>
    <hyperlink ref="D69" r:id="rId55"/>
    <hyperlink ref="D76" r:id="rId56"/>
    <hyperlink ref="D77" r:id="rId57"/>
    <hyperlink ref="D78" r:id="rId58"/>
    <hyperlink ref="D79" r:id="rId59"/>
  </hyperlinks>
  <pageMargins left="0.7" right="0.7" top="0.75" bottom="0.75" header="0.3" footer="0.3"/>
  <pageSetup paperSize="9" orientation="portrait" horizontalDpi="4294967295" verticalDpi="4294967295" r:id="rId60"/>
  <drawing r:id="rId61"/>
  <legacyDrawing r:id="rId62"/>
  <tableParts count="1">
    <tablePart r:id="rId6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970"/>
  <sheetViews>
    <sheetView rightToLeft="1" workbookViewId="0">
      <pane ySplit="1" topLeftCell="A2" activePane="bottomLeft" state="frozen"/>
      <selection pane="bottomLeft" activeCell="B3" sqref="B3"/>
    </sheetView>
  </sheetViews>
  <sheetFormatPr defaultColWidth="10.07421875" defaultRowHeight="15" customHeight="1"/>
  <cols>
    <col min="1" max="1" width="9.5" customWidth="1"/>
    <col min="2" max="2" width="27.5" customWidth="1"/>
    <col min="3" max="3" width="13.3828125" customWidth="1"/>
    <col min="4" max="4" width="17" customWidth="1"/>
    <col min="5" max="5" width="13.3046875" customWidth="1"/>
    <col min="6" max="6" width="17.57421875" customWidth="1"/>
    <col min="7" max="7" width="14.3046875" customWidth="1"/>
    <col min="8" max="9" width="14.8046875" customWidth="1"/>
    <col min="10" max="26" width="6.07421875" customWidth="1"/>
  </cols>
  <sheetData>
    <row r="1" spans="1:9" ht="22.5" customHeight="1">
      <c r="A1" s="1" t="s">
        <v>308</v>
      </c>
      <c r="B1" s="1" t="s">
        <v>1</v>
      </c>
      <c r="C1" s="1" t="s">
        <v>309</v>
      </c>
      <c r="D1" s="1" t="s">
        <v>310</v>
      </c>
      <c r="E1" s="1" t="s">
        <v>311</v>
      </c>
      <c r="F1" s="1" t="s">
        <v>312</v>
      </c>
      <c r="G1" s="1" t="s">
        <v>313</v>
      </c>
      <c r="H1" s="1" t="s">
        <v>314</v>
      </c>
      <c r="I1" s="1" t="s">
        <v>315</v>
      </c>
    </row>
    <row r="2" spans="1:9" ht="41.25" hidden="1" customHeight="1">
      <c r="A2" s="4">
        <v>1</v>
      </c>
      <c r="B2" s="4" t="s">
        <v>56</v>
      </c>
      <c r="C2" s="4" t="s">
        <v>316</v>
      </c>
      <c r="D2" s="4" t="s">
        <v>317</v>
      </c>
      <c r="E2" s="6">
        <v>45375</v>
      </c>
      <c r="F2" s="7"/>
      <c r="G2" s="4">
        <v>0</v>
      </c>
      <c r="H2" s="4" t="s">
        <v>318</v>
      </c>
      <c r="I2" s="3"/>
    </row>
    <row r="3" spans="1:9" ht="22.5" hidden="1" customHeight="1">
      <c r="A3" s="3">
        <f t="shared" ref="A3:A10" si="0">A2+1</f>
        <v>2</v>
      </c>
      <c r="B3" s="4" t="s">
        <v>319</v>
      </c>
      <c r="C3" s="4" t="s">
        <v>320</v>
      </c>
      <c r="D3" s="4" t="s">
        <v>321</v>
      </c>
      <c r="E3" s="6">
        <v>46084</v>
      </c>
      <c r="F3" s="7"/>
      <c r="G3" s="4">
        <v>11500</v>
      </c>
      <c r="H3" s="4" t="s">
        <v>318</v>
      </c>
      <c r="I3" s="4"/>
    </row>
    <row r="4" spans="1:9" ht="22.5" hidden="1" customHeight="1">
      <c r="A4" s="3">
        <f t="shared" si="0"/>
        <v>3</v>
      </c>
      <c r="B4" s="4" t="s">
        <v>188</v>
      </c>
      <c r="C4" s="4" t="s">
        <v>320</v>
      </c>
      <c r="D4" s="4" t="s">
        <v>321</v>
      </c>
      <c r="E4" s="6">
        <v>46084</v>
      </c>
      <c r="F4" s="7"/>
      <c r="G4" s="3">
        <v>1725</v>
      </c>
      <c r="H4" s="4" t="s">
        <v>318</v>
      </c>
      <c r="I4" s="3"/>
    </row>
    <row r="5" spans="1:9" ht="22.5" customHeight="1">
      <c r="A5" s="3">
        <f t="shared" si="0"/>
        <v>4</v>
      </c>
      <c r="B5" s="4" t="s">
        <v>322</v>
      </c>
      <c r="C5" s="4" t="s">
        <v>323</v>
      </c>
      <c r="D5" s="4" t="s">
        <v>317</v>
      </c>
      <c r="E5" s="6">
        <v>46084</v>
      </c>
      <c r="F5" s="7"/>
      <c r="G5" s="3">
        <v>575</v>
      </c>
      <c r="H5" s="4" t="s">
        <v>324</v>
      </c>
      <c r="I5" s="3"/>
    </row>
    <row r="6" spans="1:9" ht="22.5" hidden="1" customHeight="1">
      <c r="A6" s="3">
        <f t="shared" si="0"/>
        <v>5</v>
      </c>
      <c r="B6" s="4" t="s">
        <v>146</v>
      </c>
      <c r="C6" s="4" t="s">
        <v>320</v>
      </c>
      <c r="D6" s="4" t="s">
        <v>321</v>
      </c>
      <c r="E6" s="6">
        <v>45697</v>
      </c>
      <c r="F6" s="7"/>
      <c r="G6" s="1">
        <v>5175</v>
      </c>
      <c r="H6" s="4" t="s">
        <v>318</v>
      </c>
      <c r="I6" s="3"/>
    </row>
    <row r="7" spans="1:9" ht="22.5" hidden="1" customHeight="1">
      <c r="A7" s="3">
        <f t="shared" si="0"/>
        <v>6</v>
      </c>
      <c r="B7" s="4" t="s">
        <v>91</v>
      </c>
      <c r="C7" s="4" t="s">
        <v>320</v>
      </c>
      <c r="D7" s="4" t="s">
        <v>317</v>
      </c>
      <c r="E7" s="6">
        <v>46015</v>
      </c>
      <c r="F7" s="7"/>
      <c r="G7" s="1">
        <v>3450</v>
      </c>
      <c r="H7" s="4" t="s">
        <v>318</v>
      </c>
      <c r="I7" s="3"/>
    </row>
    <row r="8" spans="1:9" ht="22.5" hidden="1" customHeight="1">
      <c r="A8" s="3">
        <f t="shared" si="0"/>
        <v>7</v>
      </c>
      <c r="B8" s="4" t="s">
        <v>41</v>
      </c>
      <c r="C8" s="4" t="s">
        <v>320</v>
      </c>
      <c r="D8" s="4" t="s">
        <v>321</v>
      </c>
      <c r="E8" s="6">
        <v>46034</v>
      </c>
      <c r="F8" s="7"/>
      <c r="G8" s="1">
        <v>1150</v>
      </c>
      <c r="H8" s="4" t="s">
        <v>318</v>
      </c>
      <c r="I8" s="4"/>
    </row>
    <row r="9" spans="1:9" ht="22.5" hidden="1" customHeight="1">
      <c r="A9" s="3">
        <f t="shared" si="0"/>
        <v>8</v>
      </c>
      <c r="B9" s="4" t="s">
        <v>122</v>
      </c>
      <c r="C9" s="4" t="s">
        <v>316</v>
      </c>
      <c r="D9" s="4" t="s">
        <v>317</v>
      </c>
      <c r="E9" s="6">
        <v>44279</v>
      </c>
      <c r="F9" s="7"/>
      <c r="G9" s="4">
        <v>0</v>
      </c>
      <c r="H9" s="4" t="s">
        <v>318</v>
      </c>
      <c r="I9" s="4"/>
    </row>
    <row r="10" spans="1:9" ht="22.5" customHeight="1">
      <c r="A10" s="3">
        <f t="shared" si="0"/>
        <v>9</v>
      </c>
      <c r="B10" s="4" t="s">
        <v>37</v>
      </c>
      <c r="C10" s="4" t="s">
        <v>323</v>
      </c>
      <c r="D10" s="4" t="s">
        <v>317</v>
      </c>
      <c r="E10" s="6">
        <v>45992</v>
      </c>
      <c r="F10" s="7">
        <v>46159</v>
      </c>
      <c r="G10" s="3">
        <v>3000</v>
      </c>
      <c r="H10" s="4" t="s">
        <v>324</v>
      </c>
      <c r="I10" s="3"/>
    </row>
    <row r="11" spans="1:9" ht="15.75" customHeight="1">
      <c r="A11" s="3">
        <f>A15+1</f>
        <v>13</v>
      </c>
      <c r="B11" s="4" t="s">
        <v>234</v>
      </c>
      <c r="C11" s="4" t="s">
        <v>323</v>
      </c>
      <c r="D11" s="4" t="s">
        <v>317</v>
      </c>
      <c r="E11" s="6">
        <v>46141</v>
      </c>
      <c r="F11" s="7">
        <v>46144</v>
      </c>
      <c r="G11" s="1">
        <v>1150.58</v>
      </c>
      <c r="H11" s="4" t="s">
        <v>324</v>
      </c>
      <c r="I11" s="3"/>
    </row>
    <row r="12" spans="1:9" ht="22.5" customHeight="1">
      <c r="A12" s="3">
        <f>A10+1</f>
        <v>10</v>
      </c>
      <c r="B12" s="4" t="s">
        <v>37</v>
      </c>
      <c r="C12" s="4" t="s">
        <v>323</v>
      </c>
      <c r="D12" s="4" t="s">
        <v>317</v>
      </c>
      <c r="E12" s="6">
        <v>46082</v>
      </c>
      <c r="F12" s="7">
        <v>46097</v>
      </c>
      <c r="G12" s="3">
        <v>5000</v>
      </c>
      <c r="H12" s="4" t="s">
        <v>324</v>
      </c>
      <c r="I12" s="3"/>
    </row>
    <row r="13" spans="1:9" ht="22.5" hidden="1" customHeight="1">
      <c r="A13" s="3">
        <f>A10+1</f>
        <v>10</v>
      </c>
      <c r="B13" s="4" t="s">
        <v>325</v>
      </c>
      <c r="C13" s="4" t="s">
        <v>320</v>
      </c>
      <c r="D13" s="4" t="s">
        <v>321</v>
      </c>
      <c r="E13" s="6">
        <v>46022</v>
      </c>
      <c r="F13" s="7"/>
      <c r="G13" s="4">
        <v>2000</v>
      </c>
      <c r="H13" s="4" t="s">
        <v>318</v>
      </c>
      <c r="I13" s="3"/>
    </row>
    <row r="14" spans="1:9" ht="22.5" customHeight="1">
      <c r="A14" s="3">
        <f t="shared" ref="A14:A15" si="1">A13+1</f>
        <v>11</v>
      </c>
      <c r="B14" s="4" t="s">
        <v>225</v>
      </c>
      <c r="C14" s="4" t="s">
        <v>323</v>
      </c>
      <c r="D14" s="4" t="s">
        <v>317</v>
      </c>
      <c r="E14" s="6">
        <v>46139</v>
      </c>
      <c r="F14" s="7">
        <v>46139</v>
      </c>
      <c r="G14" s="4">
        <v>1500</v>
      </c>
      <c r="H14" s="4" t="s">
        <v>324</v>
      </c>
      <c r="I14" s="3"/>
    </row>
    <row r="15" spans="1:9" ht="15.75" hidden="1" customHeight="1">
      <c r="A15" s="3">
        <f t="shared" si="1"/>
        <v>12</v>
      </c>
      <c r="B15" s="4" t="s">
        <v>326</v>
      </c>
      <c r="C15" s="4" t="s">
        <v>320</v>
      </c>
      <c r="D15" s="4" t="s">
        <v>321</v>
      </c>
      <c r="E15" s="6">
        <v>46142</v>
      </c>
      <c r="F15" s="7"/>
      <c r="G15" s="4">
        <v>4755</v>
      </c>
      <c r="H15" s="4" t="s">
        <v>318</v>
      </c>
    </row>
    <row r="16" spans="1:9" ht="15.75" hidden="1" customHeight="1">
      <c r="A16" s="3">
        <f>A11+1</f>
        <v>14</v>
      </c>
      <c r="B16" s="2" t="s">
        <v>135</v>
      </c>
      <c r="C16" s="2" t="s">
        <v>320</v>
      </c>
      <c r="D16" s="2" t="s">
        <v>317</v>
      </c>
      <c r="E16" s="26">
        <v>46145</v>
      </c>
      <c r="F16" s="27"/>
      <c r="G16" s="2">
        <v>2300</v>
      </c>
      <c r="H16" s="4" t="s">
        <v>324</v>
      </c>
      <c r="I16" s="18"/>
    </row>
    <row r="17" spans="1:9" ht="15.75" customHeight="1">
      <c r="A17" s="3">
        <f t="shared" ref="A17:A41" si="2">A16+1</f>
        <v>15</v>
      </c>
      <c r="B17" s="2" t="s">
        <v>71</v>
      </c>
      <c r="C17" s="2" t="s">
        <v>323</v>
      </c>
      <c r="D17" s="2" t="s">
        <v>317</v>
      </c>
      <c r="E17" s="26">
        <v>46093</v>
      </c>
      <c r="F17" s="27">
        <v>46119</v>
      </c>
      <c r="G17" s="2">
        <v>3000</v>
      </c>
      <c r="H17" s="4" t="s">
        <v>324</v>
      </c>
      <c r="I17" s="18"/>
    </row>
    <row r="18" spans="1:9" ht="15.75" hidden="1" customHeight="1">
      <c r="A18" s="3">
        <f t="shared" si="2"/>
        <v>16</v>
      </c>
      <c r="B18" s="2" t="s">
        <v>76</v>
      </c>
      <c r="C18" s="2" t="s">
        <v>320</v>
      </c>
      <c r="D18" s="2" t="s">
        <v>317</v>
      </c>
      <c r="E18" s="26">
        <v>46385</v>
      </c>
      <c r="F18" s="27"/>
      <c r="G18" s="2">
        <v>0</v>
      </c>
      <c r="H18" s="4" t="s">
        <v>318</v>
      </c>
      <c r="I18" s="18"/>
    </row>
    <row r="19" spans="1:9" ht="15.75" customHeight="1">
      <c r="A19" s="3">
        <f t="shared" si="2"/>
        <v>17</v>
      </c>
      <c r="B19" s="2" t="s">
        <v>126</v>
      </c>
      <c r="C19" s="2" t="s">
        <v>323</v>
      </c>
      <c r="D19" s="2" t="s">
        <v>317</v>
      </c>
      <c r="E19" s="26">
        <v>46145</v>
      </c>
      <c r="F19" s="27">
        <v>46145</v>
      </c>
      <c r="G19" s="2">
        <v>5000</v>
      </c>
      <c r="H19" s="4" t="s">
        <v>324</v>
      </c>
      <c r="I19" s="18"/>
    </row>
    <row r="20" spans="1:9" ht="15.75" hidden="1" customHeight="1">
      <c r="A20" s="3">
        <f t="shared" si="2"/>
        <v>18</v>
      </c>
      <c r="B20" s="2" t="s">
        <v>131</v>
      </c>
      <c r="C20" s="2" t="s">
        <v>316</v>
      </c>
      <c r="D20" s="2" t="s">
        <v>317</v>
      </c>
      <c r="E20" s="26">
        <v>46145</v>
      </c>
      <c r="F20" s="27"/>
      <c r="G20" s="2">
        <v>0</v>
      </c>
      <c r="H20" s="4" t="s">
        <v>318</v>
      </c>
      <c r="I20" s="18"/>
    </row>
    <row r="21" spans="1:9" ht="15.75" hidden="1" customHeight="1">
      <c r="A21" s="3">
        <f t="shared" si="2"/>
        <v>19</v>
      </c>
      <c r="B21" s="2" t="s">
        <v>327</v>
      </c>
      <c r="C21" s="2" t="s">
        <v>316</v>
      </c>
      <c r="D21" s="2" t="s">
        <v>321</v>
      </c>
      <c r="E21" s="26">
        <v>46145</v>
      </c>
      <c r="F21" s="27"/>
      <c r="G21" s="2">
        <v>200</v>
      </c>
      <c r="H21" s="4" t="s">
        <v>318</v>
      </c>
      <c r="I21" s="18"/>
    </row>
    <row r="22" spans="1:9" ht="15.75" customHeight="1">
      <c r="A22" s="3">
        <f t="shared" si="2"/>
        <v>20</v>
      </c>
      <c r="B22" s="2" t="s">
        <v>113</v>
      </c>
      <c r="C22" s="2" t="s">
        <v>323</v>
      </c>
      <c r="D22" s="2" t="s">
        <v>317</v>
      </c>
      <c r="E22" s="26">
        <v>46145</v>
      </c>
      <c r="F22" s="27"/>
      <c r="G22" s="2">
        <v>1200</v>
      </c>
      <c r="H22" s="4" t="s">
        <v>324</v>
      </c>
      <c r="I22" s="18"/>
    </row>
    <row r="23" spans="1:9" ht="15.75" hidden="1" customHeight="1">
      <c r="A23" s="3">
        <f t="shared" si="2"/>
        <v>21</v>
      </c>
      <c r="B23" s="2" t="s">
        <v>328</v>
      </c>
      <c r="C23" s="2" t="s">
        <v>323</v>
      </c>
      <c r="D23" s="2" t="s">
        <v>329</v>
      </c>
      <c r="E23" s="26">
        <v>46145</v>
      </c>
      <c r="F23" s="27"/>
      <c r="G23" s="2">
        <v>0</v>
      </c>
      <c r="H23" s="4" t="s">
        <v>318</v>
      </c>
      <c r="I23" s="18"/>
    </row>
    <row r="24" spans="1:9" ht="15.75" hidden="1" customHeight="1">
      <c r="A24" s="3">
        <f t="shared" si="2"/>
        <v>22</v>
      </c>
      <c r="B24" s="2" t="s">
        <v>142</v>
      </c>
      <c r="C24" s="2" t="s">
        <v>320</v>
      </c>
      <c r="D24" s="2" t="s">
        <v>321</v>
      </c>
      <c r="E24" s="26">
        <v>46145</v>
      </c>
      <c r="F24" s="27"/>
      <c r="G24" s="2">
        <v>15000</v>
      </c>
      <c r="H24" s="4" t="s">
        <v>318</v>
      </c>
      <c r="I24" s="18"/>
    </row>
    <row r="25" spans="1:9" ht="15.75" hidden="1" customHeight="1">
      <c r="A25" s="3">
        <f t="shared" si="2"/>
        <v>23</v>
      </c>
      <c r="B25" s="2" t="s">
        <v>330</v>
      </c>
      <c r="C25" s="2" t="s">
        <v>320</v>
      </c>
      <c r="D25" s="2" t="s">
        <v>321</v>
      </c>
      <c r="E25" s="26">
        <v>46145</v>
      </c>
      <c r="F25" s="27"/>
      <c r="G25" s="2">
        <v>4312.5</v>
      </c>
      <c r="H25" s="4" t="s">
        <v>318</v>
      </c>
      <c r="I25" s="18"/>
    </row>
    <row r="26" spans="1:9" ht="15.75" hidden="1" customHeight="1">
      <c r="A26" s="3">
        <f t="shared" si="2"/>
        <v>24</v>
      </c>
      <c r="B26" s="2" t="s">
        <v>155</v>
      </c>
      <c r="C26" s="2" t="s">
        <v>320</v>
      </c>
      <c r="D26" s="2" t="s">
        <v>317</v>
      </c>
      <c r="E26" s="26">
        <v>46145</v>
      </c>
      <c r="F26" s="27"/>
      <c r="G26" s="2">
        <v>5000</v>
      </c>
      <c r="H26" s="4" t="s">
        <v>324</v>
      </c>
      <c r="I26" s="18"/>
    </row>
    <row r="27" spans="1:9" ht="15.75" hidden="1" customHeight="1">
      <c r="A27" s="3">
        <f t="shared" si="2"/>
        <v>25</v>
      </c>
      <c r="B27" s="2" t="s">
        <v>218</v>
      </c>
      <c r="C27" s="2" t="s">
        <v>316</v>
      </c>
      <c r="D27" s="2" t="s">
        <v>317</v>
      </c>
      <c r="E27" s="26">
        <v>46145</v>
      </c>
      <c r="F27" s="27"/>
      <c r="G27" s="2">
        <v>497</v>
      </c>
      <c r="H27" s="4" t="s">
        <v>318</v>
      </c>
      <c r="I27" s="18"/>
    </row>
    <row r="28" spans="1:9" ht="15.75" customHeight="1">
      <c r="A28" s="3">
        <f t="shared" si="2"/>
        <v>26</v>
      </c>
      <c r="B28" s="2" t="s">
        <v>194</v>
      </c>
      <c r="C28" s="2" t="s">
        <v>323</v>
      </c>
      <c r="D28" s="2" t="s">
        <v>317</v>
      </c>
      <c r="E28" s="26">
        <v>46145</v>
      </c>
      <c r="F28" s="27">
        <v>46149</v>
      </c>
      <c r="G28" s="2">
        <v>335.58</v>
      </c>
      <c r="H28" s="4" t="s">
        <v>324</v>
      </c>
      <c r="I28" s="18"/>
    </row>
    <row r="29" spans="1:9" ht="15.75" customHeight="1">
      <c r="A29" s="3">
        <f t="shared" si="2"/>
        <v>27</v>
      </c>
      <c r="B29" s="2" t="s">
        <v>212</v>
      </c>
      <c r="C29" s="2" t="s">
        <v>323</v>
      </c>
      <c r="D29" s="2" t="s">
        <v>317</v>
      </c>
      <c r="E29" s="26">
        <v>46145</v>
      </c>
      <c r="F29" s="27">
        <v>46147</v>
      </c>
      <c r="G29" s="2">
        <v>1552.5</v>
      </c>
      <c r="H29" s="4" t="s">
        <v>324</v>
      </c>
      <c r="I29" s="18"/>
    </row>
    <row r="30" spans="1:9" ht="15.75" hidden="1" customHeight="1">
      <c r="A30" s="3">
        <f t="shared" si="2"/>
        <v>28</v>
      </c>
      <c r="B30" s="2" t="s">
        <v>229</v>
      </c>
      <c r="C30" s="2" t="s">
        <v>320</v>
      </c>
      <c r="D30" s="2" t="s">
        <v>317</v>
      </c>
      <c r="E30" s="26">
        <v>46147</v>
      </c>
      <c r="F30" s="27"/>
      <c r="G30" s="2">
        <v>3450</v>
      </c>
      <c r="H30" s="2" t="s">
        <v>324</v>
      </c>
      <c r="I30" s="18"/>
    </row>
    <row r="31" spans="1:9" ht="15.75" customHeight="1">
      <c r="A31" s="3">
        <f t="shared" si="2"/>
        <v>29</v>
      </c>
      <c r="B31" s="2" t="s">
        <v>331</v>
      </c>
      <c r="C31" s="2" t="s">
        <v>323</v>
      </c>
      <c r="D31" s="2" t="s">
        <v>317</v>
      </c>
      <c r="E31" s="26">
        <v>46133</v>
      </c>
      <c r="F31" s="27">
        <v>46134</v>
      </c>
      <c r="G31" s="2">
        <v>200</v>
      </c>
      <c r="H31" s="2" t="s">
        <v>324</v>
      </c>
      <c r="I31" s="18"/>
    </row>
    <row r="32" spans="1:9" ht="15.75" hidden="1" customHeight="1">
      <c r="A32" s="18">
        <f t="shared" si="2"/>
        <v>30</v>
      </c>
      <c r="B32" s="2" t="s">
        <v>332</v>
      </c>
      <c r="C32" s="2" t="s">
        <v>323</v>
      </c>
      <c r="D32" s="2" t="s">
        <v>329</v>
      </c>
      <c r="E32" s="26">
        <v>46083</v>
      </c>
      <c r="F32" s="27">
        <v>46112</v>
      </c>
      <c r="G32" s="2"/>
      <c r="H32" s="2" t="s">
        <v>324</v>
      </c>
      <c r="I32" s="18"/>
    </row>
    <row r="33" spans="1:9" ht="15.75" customHeight="1">
      <c r="A33" s="18">
        <f t="shared" si="2"/>
        <v>31</v>
      </c>
      <c r="B33" s="2" t="s">
        <v>63</v>
      </c>
      <c r="C33" s="2" t="s">
        <v>323</v>
      </c>
      <c r="D33" s="2" t="s">
        <v>317</v>
      </c>
      <c r="E33" s="26">
        <v>46064</v>
      </c>
      <c r="F33" s="27">
        <v>46129</v>
      </c>
      <c r="G33" s="2">
        <v>1380</v>
      </c>
      <c r="H33" s="2" t="s">
        <v>324</v>
      </c>
      <c r="I33" s="18"/>
    </row>
    <row r="34" spans="1:9" ht="15.75" hidden="1" customHeight="1">
      <c r="A34" s="18">
        <f t="shared" si="2"/>
        <v>32</v>
      </c>
      <c r="B34" s="2" t="s">
        <v>171</v>
      </c>
      <c r="C34" s="2" t="s">
        <v>323</v>
      </c>
      <c r="D34" s="2" t="s">
        <v>329</v>
      </c>
      <c r="E34" s="26">
        <v>46146</v>
      </c>
      <c r="F34" s="27">
        <v>46146</v>
      </c>
      <c r="G34" s="2">
        <v>10000</v>
      </c>
      <c r="H34" s="2" t="s">
        <v>318</v>
      </c>
      <c r="I34" s="18"/>
    </row>
    <row r="35" spans="1:9" ht="15.75" customHeight="1">
      <c r="A35" s="18">
        <f t="shared" si="2"/>
        <v>33</v>
      </c>
      <c r="B35" s="2" t="s">
        <v>171</v>
      </c>
      <c r="C35" s="2" t="s">
        <v>323</v>
      </c>
      <c r="D35" s="2" t="s">
        <v>317</v>
      </c>
      <c r="E35" s="26">
        <v>46155</v>
      </c>
      <c r="F35" s="27">
        <v>46155</v>
      </c>
      <c r="G35" s="2">
        <v>10000</v>
      </c>
      <c r="H35" s="2" t="s">
        <v>318</v>
      </c>
      <c r="I35" s="18"/>
    </row>
    <row r="36" spans="1:9" ht="15.75" customHeight="1">
      <c r="A36" s="18">
        <f t="shared" si="2"/>
        <v>34</v>
      </c>
      <c r="B36" s="2" t="s">
        <v>241</v>
      </c>
      <c r="C36" s="2" t="s">
        <v>323</v>
      </c>
      <c r="D36" s="2" t="s">
        <v>317</v>
      </c>
      <c r="E36" s="26">
        <v>46159</v>
      </c>
      <c r="F36" s="27">
        <v>46159</v>
      </c>
      <c r="G36" s="2">
        <v>446</v>
      </c>
      <c r="H36" s="2" t="s">
        <v>324</v>
      </c>
      <c r="I36" s="18"/>
    </row>
    <row r="37" spans="1:9" ht="15.75" customHeight="1">
      <c r="A37" s="18">
        <f t="shared" si="2"/>
        <v>35</v>
      </c>
      <c r="B37" s="2" t="s">
        <v>331</v>
      </c>
      <c r="C37" s="2" t="s">
        <v>323</v>
      </c>
      <c r="D37" s="2" t="s">
        <v>317</v>
      </c>
      <c r="E37" s="26">
        <v>46161</v>
      </c>
      <c r="F37" s="27"/>
      <c r="G37" s="2">
        <v>200</v>
      </c>
      <c r="H37" s="2" t="s">
        <v>324</v>
      </c>
      <c r="I37" s="18"/>
    </row>
    <row r="38" spans="1:9" ht="15.75" customHeight="1">
      <c r="A38" s="18">
        <f t="shared" si="2"/>
        <v>36</v>
      </c>
      <c r="B38" s="2" t="s">
        <v>225</v>
      </c>
      <c r="C38" s="2" t="s">
        <v>323</v>
      </c>
      <c r="D38" s="2" t="s">
        <v>317</v>
      </c>
      <c r="E38" s="26">
        <v>46174</v>
      </c>
      <c r="F38" s="27">
        <v>46174</v>
      </c>
      <c r="G38" s="2">
        <v>1500</v>
      </c>
      <c r="H38" s="2" t="s">
        <v>318</v>
      </c>
      <c r="I38" s="18"/>
    </row>
    <row r="39" spans="1:9" ht="15.75" hidden="1" customHeight="1">
      <c r="A39" s="18">
        <f t="shared" si="2"/>
        <v>37</v>
      </c>
      <c r="B39" s="2" t="s">
        <v>333</v>
      </c>
      <c r="C39" s="2" t="s">
        <v>320</v>
      </c>
      <c r="D39" s="2" t="s">
        <v>321</v>
      </c>
      <c r="E39" s="26">
        <v>46177</v>
      </c>
      <c r="F39" s="27"/>
      <c r="G39" s="2">
        <v>7825</v>
      </c>
      <c r="H39" s="2" t="s">
        <v>324</v>
      </c>
      <c r="I39" s="18"/>
    </row>
    <row r="40" spans="1:9" ht="15.75" hidden="1" customHeight="1">
      <c r="A40" s="18">
        <f t="shared" si="2"/>
        <v>38</v>
      </c>
      <c r="B40" s="2" t="s">
        <v>334</v>
      </c>
      <c r="C40" s="2" t="s">
        <v>320</v>
      </c>
      <c r="D40" s="2" t="s">
        <v>317</v>
      </c>
      <c r="E40" s="26">
        <v>46180</v>
      </c>
      <c r="F40" s="27"/>
      <c r="G40" s="2">
        <v>17100</v>
      </c>
      <c r="H40" s="2" t="s">
        <v>324</v>
      </c>
      <c r="I40" s="18"/>
    </row>
    <row r="41" spans="1:9" ht="15.75" hidden="1" customHeight="1">
      <c r="A41" s="18">
        <f t="shared" si="2"/>
        <v>39</v>
      </c>
      <c r="B41" s="2" t="s">
        <v>334</v>
      </c>
      <c r="C41" s="2" t="s">
        <v>320</v>
      </c>
      <c r="D41" s="2" t="s">
        <v>317</v>
      </c>
      <c r="E41" s="26">
        <v>46180</v>
      </c>
      <c r="F41" s="27"/>
      <c r="G41" s="2">
        <v>10000</v>
      </c>
      <c r="H41" s="2" t="s">
        <v>324</v>
      </c>
      <c r="I41" s="18"/>
    </row>
    <row r="42" spans="1:9" ht="15.75" customHeight="1">
      <c r="A42" s="18">
        <f>A40+1</f>
        <v>39</v>
      </c>
      <c r="B42" s="2" t="s">
        <v>334</v>
      </c>
      <c r="C42" s="2" t="s">
        <v>323</v>
      </c>
      <c r="D42" s="2" t="s">
        <v>317</v>
      </c>
      <c r="E42" s="26">
        <v>46180</v>
      </c>
      <c r="F42" s="27">
        <v>46181</v>
      </c>
      <c r="G42" s="2">
        <v>5000</v>
      </c>
      <c r="H42" s="2" t="s">
        <v>324</v>
      </c>
      <c r="I42" s="18"/>
    </row>
    <row r="43" spans="1:9" ht="15.75" hidden="1" customHeight="1">
      <c r="A43" s="18">
        <f t="shared" ref="A43:A44" si="3">A42+1</f>
        <v>40</v>
      </c>
      <c r="B43" s="2" t="s">
        <v>126</v>
      </c>
      <c r="C43" s="2" t="s">
        <v>320</v>
      </c>
      <c r="D43" s="2" t="s">
        <v>317</v>
      </c>
      <c r="E43" s="26">
        <v>46176</v>
      </c>
      <c r="F43" s="27"/>
      <c r="G43" s="2">
        <v>10350</v>
      </c>
      <c r="H43" s="2" t="s">
        <v>324</v>
      </c>
      <c r="I43" s="18"/>
    </row>
    <row r="44" spans="1:9" ht="15.75" customHeight="1">
      <c r="A44" s="18">
        <f t="shared" si="3"/>
        <v>41</v>
      </c>
      <c r="B44" s="2" t="s">
        <v>335</v>
      </c>
      <c r="C44" s="2" t="s">
        <v>323</v>
      </c>
      <c r="D44" s="2" t="s">
        <v>317</v>
      </c>
      <c r="E44" s="26">
        <v>46183</v>
      </c>
      <c r="F44" s="27">
        <v>46183</v>
      </c>
      <c r="G44" s="2">
        <v>1725</v>
      </c>
      <c r="H44" s="2" t="s">
        <v>324</v>
      </c>
      <c r="I44" s="18"/>
    </row>
    <row r="45" spans="1:9" ht="15.75" customHeight="1">
      <c r="I45" s="29" t="s">
        <v>336</v>
      </c>
    </row>
    <row r="46" spans="1:9" ht="15.75" customHeight="1"/>
    <row r="47" spans="1:9" ht="15.75" customHeight="1"/>
    <row r="48" spans="1: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sheetData>
  <dataValidations count="6">
    <dataValidation type="list" allowBlank="1" sqref="C2:C44">
      <formula1>"جاري التحصيل,لم يتم التحصيل ,تم التحصيل,هيتم ايقاف النظام"</formula1>
    </dataValidation>
    <dataValidation type="list" allowBlank="1" sqref="B2:B44">
      <formula1>"ايكومان,صفى,شعاع طلال,الشهري,زمردة العاصمة,خالد الجهنى,بدر البدر حسابات,اطياب,شركه الجمعية التعاونيه حفر الباطن للثروه الحيوانيه,service-one,مؤسسة سبل الغذاء,شركة-فدك-الروح-للحلويات,عقارات الرياض,فروج الريف,شركة بدر البدر لخدمات الوقود,مؤسسة نجمة الانتاج "&amp;"الذهبي,الاهرامات الاربعة,مؤسسة فروج الاصالة للتجارة الجديده,مؤسسة النخبة ,الاهرامات الاربعة الجديده,المصريه جروب للصناعات الغذائيه,مصنع مياه نوال لتعبئة المياه,نقاء السماء,دبل سفن,رواسي ,مجدي جميل,مؤسسة رحلة شوي لخدمات الإعاشة,مؤسسة بشائر حلا للمواد الغذا"&amp;"ئية,مؤسسة ساقي النخبة لتجارة الجملة,شوق البلد للحسابات ,حامد للحسابات,شركة صالح غرم االله أبوعدله الغامدي وأولاده البترولية,شركة فلل للوقود,مطاحن مروج الصفا  للحبوب,الاهرامات الاربعة الفرع التالت,مؤسسة ظبي للمياة,شركة المساحة المتوفرة للتجارة,العاصم للنقل"&amp;"يات,الاهرامات الاربعه 2,عبدالله مبارك حسين الدوسري,شركة نقطة لتر للوقود,الاهرامات الاربعه الفرع 4,مؤسسة حلول الموجات للتجارة,المستهلك الجيد,مؤسسة أسوار الشرق لتجارة الأغذية,مؤسسة عبدالرحمن محمد حامد الجهني للمواشي والأعلاف,مؤسسة ولاء على للتجارة,مائدتي,"&amp;"بلان الإعمار للمقالاوت,شركة مزرعة محمد فهد محمد الحسيني للدواجن,شركة ضواحي رانية للنقليات,مصنع فراتا لتعبئة المياة,شركة نسمة المائدة,ينابيع الاثير,مصنع ثراء نقاء السماء,مؤسسة نجوم الارض التجارية,مؤسسة الكيان المتميز للزراعة,شركة الرضى للدواجن,مؤسسة مهند ع"&amp;"بدالله الغامدي,شركة البرق المتميزة للوقود,شركة زمرد القاهرة التجارية,سفر الغامدي ,Company Integrated B 2 B Orders,ملحمة العاصم,موسسه النجمة للتجاره,عبدالرحمن محمد حامد,شركة صالح غرم االله أبوعدله الغامدي وأولاده البترولية,ارياش,abc cargo,ايكون"</formula1>
    </dataValidation>
    <dataValidation type="list" allowBlank="1" sqref="D2:D44">
      <formula1>"عبدالرحمن,م. طلعت,مصطفي قاعود"</formula1>
    </dataValidation>
    <dataValidation type="custom" allowBlank="1" showDropDown="1" sqref="E2:F44">
      <formula1>OR(NOT(ISERROR(DATEVALUE(E2))), AND(ISNUMBER(E2), LEFT(CELL("format", E2))="D"))</formula1>
    </dataValidation>
    <dataValidation type="custom" allowBlank="1" showDropDown="1" sqref="G2:G44">
      <formula1>AND(ISNUMBER(G2),(NOT(OR(NOT(ISERROR(DATEVALUE(G2))), AND(ISNUMBER(G2), LEFT(CELL("format", G2))="D")))))</formula1>
    </dataValidation>
    <dataValidation type="list" allowBlank="1" sqref="H2:H44">
      <formula1>"تم عمل مطالبة,تم ارسال المطالبة,لم يتم عمل المطالبة"</formula1>
    </dataValidation>
  </dataValidations>
  <pageMargins left="0.7" right="0.7" top="0.75" bottom="0.75" header="0.3" footer="0.3"/>
  <drawing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Raito Accounts - Main file</vt:lpstr>
      <vt:lpstr>التحصيلات</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dc:creator>
  <cp:lastModifiedBy>H</cp:lastModifiedBy>
  <cp:lastPrinted>2026-08-10T07:56:52Z</cp:lastPrinted>
  <dcterms:created xsi:type="dcterms:W3CDTF">2026-08-09T06:33:51Z</dcterms:created>
  <dcterms:modified xsi:type="dcterms:W3CDTF">2026-08-13T17:39:56Z</dcterms:modified>
</cp:coreProperties>
</file>